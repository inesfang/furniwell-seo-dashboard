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a9011f966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1590a7f5c67433d"/>
    <x:sheet xmlns:r="http://schemas.openxmlformats.org/officeDocument/2006/relationships" name="Materials" sheetId="2" r:id="R19f2b570f23542fa"/>
    <x:sheet xmlns:r="http://schemas.openxmlformats.org/officeDocument/2006/relationships" name="AdRecords" sheetId="3" r:id="R0b6bdcc2bc614b6e"/>
    <x:sheet xmlns:r="http://schemas.openxmlformats.org/officeDocument/2006/relationships" name="AccessLog" sheetId="4" r:id="R3aa31d40ef51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sz val="11"/>
      <x:color rgb="FF243347"/>
      <x:name val="Noto Sans CJK SC"/>
    </x:font>
    <x:font>
      <x:b/>
      <x:sz val="16"/>
      <x:color rgb="FF243347"/>
      <x:name val="Noto Sans CJK SC"/>
    </x:font>
    <x:font>
      <x:b/>
      <x:sz val="11"/>
      <x:color rgb="FFFFFFFF"/>
      <x:name val="Noto Sans CJK SC"/>
    </x:font>
    <x:font>
      <x:b/>
      <x:sz val="14"/>
      <x:color rgb="FF243347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ac3df2b244a06" /><Relationship Type="http://schemas.openxmlformats.org/officeDocument/2006/relationships/theme" Target="/xl/theme/theme1.xml" Id="R15b2fac5601d4024" /><Relationship Type="http://schemas.openxmlformats.org/officeDocument/2006/relationships/sharedStrings" Target="/xl/sharedStrings.xml" Id="R7624576f6ffe41ec" /><Relationship Type="http://schemas.openxmlformats.org/officeDocument/2006/relationships/worksheet" Target="/xl/worksheets/sheet1.xml" Id="R91590a7f5c67433d" /><Relationship Type="http://schemas.openxmlformats.org/officeDocument/2006/relationships/worksheet" Target="/xl/worksheets/sheet2.xml" Id="R19f2b570f23542fa" /><Relationship Type="http://schemas.openxmlformats.org/officeDocument/2006/relationships/worksheet" Target="/xl/worksheets/sheet3.xml" Id="R0b6bdcc2bc614b6e" /><Relationship Type="http://schemas.openxmlformats.org/officeDocument/2006/relationships/worksheet" Target="/xl/worksheets/sheet4.xml" Id="R3aa31d40ef51469b" /></Relationships>
</file>

<file path=xl/tables/table1.xml><?xml version="1.0" encoding="utf-8"?>
<x:table xmlns:x="http://schemas.openxmlformats.org/spreadsheetml/2006/main" id="1" name="ResearchTable1" displayName="ResearchTable1" ref="A5:V65" headerRowCount="1" totalsRowCount="0" totalsRowShown="0">
  <x:autoFilter ref="A5:V65"/>
  <x:tableColumns count="22">
    <x:tableColumn id="1" name="Material_ID"/>
    <x:tableColumn id="2" name="品牌"/>
    <x:tableColumn id="3" name="平台"/>
    <x:tableColumn id="4" name="来源类别"/>
    <x:tableColumn id="5" name="范围"/>
    <x:tableColumn id="6" name="图像形态"/>
    <x:tableColumn id="7" name="宽px"/>
    <x:tableColumn id="8" name="高px"/>
    <x:tableColumn id="9" name="比例"/>
    <x:tableColumn id="10" name="卖点"/>
    <x:tableColumn id="11" name="场景"/>
    <x:tableColumn id="12" name="图片"/>
    <x:tableColumn id="13" name="广告来源"/>
    <x:tableColumn id="14" name="投放记录ID"/>
    <x:tableColumn id="15" name="日期证据"/>
    <x:tableColumn id="16" name="标题短摘录"/>
    <x:tableColumn id="17" name="正文短摘录"/>
    <x:tableColumn id="18" name="落地页"/>
    <x:tableColumn id="19" name="促销"/>
    <x:tableColumn id="20" name="完整人物"/>
    <x:tableColumn id="21" name="图片相对路径"/>
    <x:tableColumn id="22" name="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Table2" displayName="ResearchTable2" ref="A5:N68" headerRowCount="1" totalsRowCount="0" totalsRowShown="0">
  <x:autoFilter ref="A5:N68"/>
  <x:tableColumns count="14">
    <x:tableColumn id="1" name="Ad_Record_ID"/>
    <x:tableColumn id="2" name="Material_ID"/>
    <x:tableColumn id="3" name="品牌"/>
    <x:tableColumn id="4" name="平台"/>
    <x:tableColumn id="5" name="广告主"/>
    <x:tableColumn id="6" name="首次公开日期"/>
    <x:tableColumn id="7" name="最后公开日期"/>
    <x:tableColumn id="8" name="公开状态"/>
    <x:tableColumn id="9" name="日期证据"/>
    <x:tableColumn id="10" name="标题短摘录"/>
    <x:tableColumn id="11" name="正文短摘录"/>
    <x:tableColumn id="12" name="落地页"/>
    <x:tableColumn id="13" name="原广告来源"/>
    <x:tableColumn id="14" name="正文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Table3" displayName="ResearchTable3" ref="A5:E12" headerRowCount="1" totalsRowCount="0" totalsRowShown="0">
  <x:autoFilter ref="A5:E12"/>
  <x:tableColumns count="5">
    <x:tableColumn id="1" name="平台"/>
    <x:tableColumn id="2" name="对象"/>
    <x:tableColumn id="3" name="检查"/>
    <x:tableColumn id="4" name="结果"/>
    <x:tableColumn id="5" name="限制与处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2998b765bc42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36bb96c3f647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d70a4eed7f4b76" /></Relationships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德国竞品广告素材档案</x:v>
      </x:c>
      <x:c r="B2" s="2"/>
      <x:c r="C2" s="2"/>
      <x:c r="D2" s="2"/>
      <x:c r="E2" s="2"/>
      <x:c r="F2" s="2"/>
      <x:c r="G2" s="2"/>
    </x:row>
    <x:row r="3">
      <x:c r="A3" s="2" t="str">
        <x:v>2026-09-16 至 2026-10-15；数量是本次可保留样本，不是市场投放全量。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28" customHeight="1">
      <x:c r="A6" s="2" t="str">
        <x:v>去重图片</x:v>
      </x:c>
      <x:c r="B6" s="12" t="n">
        <x:f>COUNTA(Materials!A6:A65)</x:f>
        <x:v>60</x:v>
      </x:c>
      <x:c r="C6" s="2"/>
      <x:c r="D6" s="2" t="str">
        <x:v>完整广告与广告内图像组件分开标注。</x:v>
      </x:c>
      <x:c r="E6" s="2"/>
      <x:c r="F6" s="2"/>
      <x:c r="G6" s="2"/>
    </x:row>
    <x:row r="7" ht="28" customHeight="1">
      <x:c r="A7" s="2" t="str">
        <x:v>广告记录</x:v>
      </x:c>
      <x:c r="B7" s="12" t="n">
        <x:f>COUNTA(AdRecords!A6:A68)</x:f>
        <x:v>63</x:v>
      </x:c>
      <x:c r="C7" s="2"/>
      <x:c r="D7" s="2"/>
      <x:c r="E7" s="2"/>
      <x:c r="F7" s="2"/>
      <x:c r="G7" s="2"/>
    </x:row>
    <x:row r="8" ht="28" customHeight="1">
      <x:c r="A8" s="2" t="str">
        <x:v>Google记录</x:v>
      </x:c>
      <x:c r="B8" s="12" t="n">
        <x:f>COUNTIFS(AdRecords!D6:D68,"Google")</x:f>
        <x:v>56</x:v>
      </x:c>
      <x:c r="C8" s="2"/>
      <x:c r="D8" s="2" t="str">
        <x:v>首次/最后边界不证明连续投放。</x:v>
      </x:c>
      <x:c r="E8" s="2"/>
      <x:c r="F8" s="2"/>
      <x:c r="G8" s="2"/>
    </x:row>
    <x:row r="9" ht="28" customHeight="1">
      <x:c r="A9" s="2" t="str">
        <x:v>Meta记录</x:v>
      </x:c>
      <x:c r="B9" s="12" t="n">
        <x:f>COUNTIFS(AdRecords!D6:D68,"Meta")</x:f>
        <x:v>7</x:v>
      </x:c>
      <x:c r="C9" s="2"/>
      <x:c r="D9" s="2"/>
      <x:c r="E9" s="2"/>
      <x:c r="F9" s="2"/>
      <x:c r="G9" s="2"/>
    </x:row>
    <x:row r="10" ht="28" customHeight="1">
      <x:c r="A10" s="2" t="str">
        <x:v>Google单条日期齐全</x:v>
      </x:c>
      <x:c r="B10" s="12" t="n">
        <x:f>COUNTIFS(AdRecords!D6:D68,"Google",AdRecords!F6:F68,"&gt;0",AdRecords!G6:G68,"&gt;0")</x:f>
        <x:v>38</x:v>
      </x:c>
      <x:c r="C10" s="2"/>
      <x:c r="D10" s="2" t="str">
        <x:v>原图去重，投放记录单独保留。</x:v>
      </x:c>
      <x:c r="E10" s="2"/>
      <x:c r="F10" s="2"/>
      <x:c r="G10" s="2"/>
    </x:row>
    <x:row r="11" ht="28" customHeight="1">
      <x:c r="A11" s="2" t="str">
        <x:v>Google仅列表窗口</x:v>
      </x:c>
      <x:c r="B11" s="12" t="n">
        <x:f>B8-B10</x:f>
        <x:v>18</x:v>
      </x:c>
      <x:c r="C11" s="2"/>
      <x:c r="D11" s="2"/>
      <x:c r="E11" s="2"/>
      <x:c r="F11" s="2"/>
      <x:c r="G11" s="2"/>
    </x:row>
    <x:row r="12" ht="28" customHeight="1">
      <x:c r="A12" s="2" t="str">
        <x:v>办公邻近图片</x:v>
      </x:c>
      <x:c r="B12" s="12" t="n">
        <x:f>COUNTIFS(Materials!E6:E65,"&lt;&gt;升降桌核心或使用场景")</x:f>
        <x:v>6</x:v>
      </x:c>
      <x:c r="C12" s="2"/>
      <x:c r="D12" s="2" t="str">
        <x:v>Meta原搜索页与编号优先于未解析深链。</x:v>
      </x:c>
      <x:c r="E12" s="2"/>
      <x:c r="F12" s="2"/>
      <x:c r="G12" s="2"/>
    </x:row>
    <x:row r="13" ht="28" customHeight="1">
      <x:c r="A13" s="2" t="str">
        <x:v>B类其他平台</x:v>
      </x:c>
      <x:c r="B13" s="12" t="n">
        <x:f>COUNTIFS(Materials!D6:D65,"B")</x:f>
        <x:v>0</x:v>
      </x:c>
      <x:c r="C13" s="2"/>
      <x:c r="D13" s="2"/>
      <x:c r="E13" s="2"/>
      <x:c r="F13" s="2"/>
      <x:c r="G13" s="2"/>
    </x:row>
    <x:row r="14" ht="28" customHeight="1">
      <x:c r="A14" s="2" t="str">
        <x:v>C类竞品官网图</x:v>
      </x:c>
      <x:c r="B14" s="12" t="n">
        <x:f>COUNTIFS(Materials!D6:D65,"C")</x:f>
        <x:v>0</x:v>
      </x:c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>
      <x:c r="A18" s="2" t="str">
        <x:v>Furniwell官方产品参考另列6个，不计入竞品图片。</x:v>
      </x:c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 ht="30" customHeight="1">
      <x:c r="A20" s="5" t="str">
        <x:v>品牌</x:v>
      </x:c>
      <x:c r="B20" s="5" t="str">
        <x:v>去重图片</x:v>
      </x:c>
      <x:c r="C20" s="5" t="str">
        <x:v>广告记录</x:v>
      </x:c>
      <x:c r="D20" s="5" t="str">
        <x:v>Meta记录</x:v>
      </x:c>
      <x:c r="E20" s="2"/>
      <x:c r="F20" s="2"/>
      <x:c r="G20" s="2"/>
    </x:row>
    <x:row r="21">
      <x:c r="A21" s="2" t="str">
        <x:v>FlexiSpot</x:v>
      </x:c>
      <x:c r="B21" s="2" t="n">
        <x:f>COUNTIFS(Materials!B6:B65,A21)</x:f>
        <x:v>21</x:v>
      </x:c>
      <x:c r="C21" s="2" t="n">
        <x:f>COUNTIFS(AdRecords!C6:C68,A21)</x:f>
        <x:v>22</x:v>
      </x:c>
      <x:c r="D21" s="2" t="n">
        <x:f>COUNTIFS(AdRecords!C6:C68,A21,AdRecords!D6:D68,"Meta")</x:f>
        <x:v>0</x:v>
      </x:c>
      <x:c r="E21" s="2"/>
      <x:c r="F21" s="2"/>
      <x:c r="G21" s="2"/>
    </x:row>
    <x:row r="22">
      <x:c r="A22" s="2" t="str">
        <x:v>Desktronic</x:v>
      </x:c>
      <x:c r="B22" s="2" t="n">
        <x:f>COUNTIFS(Materials!B6:B65,A22)</x:f>
        <x:v>9</x:v>
      </x:c>
      <x:c r="C22" s="2" t="n">
        <x:f>COUNTIFS(AdRecords!C6:C68,A22)</x:f>
        <x:v>9</x:v>
      </x:c>
      <x:c r="D22" s="2" t="n">
        <x:f>COUNTIFS(AdRecords!C6:C68,A22,AdRecords!D6:D68,"Meta")</x:f>
        <x:v>3</x:v>
      </x:c>
      <x:c r="E22" s="2"/>
      <x:c r="F22" s="2"/>
      <x:c r="G22" s="2"/>
    </x:row>
    <x:row r="23">
      <x:c r="A23" s="2" t="str">
        <x:v>SONGMICS</x:v>
      </x:c>
      <x:c r="B23" s="2" t="n">
        <x:f>COUNTIFS(Materials!B6:B65,A23)</x:f>
        <x:v>4</x:v>
      </x:c>
      <x:c r="C23" s="2" t="n">
        <x:f>COUNTIFS(AdRecords!C6:C68,A23)</x:f>
        <x:v>4</x:v>
      </x:c>
      <x:c r="D23" s="2" t="n">
        <x:f>COUNTIFS(AdRecords!C6:C68,A23,AdRecords!D6:D68,"Meta")</x:f>
        <x:v>0</x:v>
      </x:c>
      <x:c r="E23" s="2"/>
      <x:c r="F23" s="2"/>
      <x:c r="G23" s="2"/>
    </x:row>
    <x:row r="24">
      <x:c r="A24" s="2" t="str">
        <x:v>Ergotopia</x:v>
      </x:c>
      <x:c r="B24" s="2" t="n">
        <x:f>COUNTIFS(Materials!B6:B65,A24)</x:f>
        <x:v>18</x:v>
      </x:c>
      <x:c r="C24" s="2" t="n">
        <x:f>COUNTIFS(AdRecords!C6:C68,A24)</x:f>
        <x:v>20</x:v>
      </x:c>
      <x:c r="D24" s="2" t="n">
        <x:f>COUNTIFS(AdRecords!C6:C68,A24,AdRecords!D6:D68,"Meta")</x:f>
        <x:v>3</x:v>
      </x:c>
      <x:c r="E24" s="2"/>
      <x:c r="F24" s="2"/>
      <x:c r="G24" s="2"/>
    </x:row>
    <x:row r="25">
      <x:c r="A25" s="2" t="str">
        <x:v>Yaasa</x:v>
      </x:c>
      <x:c r="B25" s="2" t="n">
        <x:f>COUNTIFS(Materials!B6:B65,A25)</x:f>
        <x:v>8</x:v>
      </x:c>
      <x:c r="C25" s="2" t="n">
        <x:f>COUNTIFS(AdRecords!C6:C68,A25)</x:f>
        <x:v>8</x:v>
      </x:c>
      <x:c r="D25" s="2" t="n">
        <x:f>COUNTIFS(AdRecords!C6:C68,A25,AdRecords!D6:D68,"Meta")</x:f>
        <x:v>1</x:v>
      </x:c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3" hidden="0" customWidth="1"/>
    <x:col min="5" max="5" width="40" hidden="0" customWidth="1"/>
    <x:col min="6" max="6" width="48" hidden="0" customWidth="1"/>
    <x:col min="7" max="7" width="11" hidden="0" customWidth="1"/>
    <x:col min="8" max="8" width="11" hidden="0" customWidth="1"/>
    <x:col min="9" max="9" width="15" hidden="0" customWidth="1"/>
    <x:col min="10" max="10" width="48" hidden="0" customWidth="1"/>
    <x:col min="11" max="11" width="25" hidden="0" customWidth="1"/>
    <x:col min="12" max="12" width="90" hidden="0" customWidth="1"/>
    <x:col min="13" max="13" width="70" hidden="0" customWidth="1"/>
    <x:col min="14" max="14" width="58" hidden="0" customWidth="1"/>
    <x:col min="15" max="15" width="68" hidden="0" customWidth="1"/>
    <x:col min="16" max="16" width="60" hidden="0" customWidth="1"/>
    <x:col min="17" max="17" width="60" hidden="0" customWidth="1"/>
    <x:col min="18" max="18" width="70" hidden="0" customWidth="1"/>
    <x:col min="19" max="19" width="12" hidden="0" customWidth="1"/>
    <x:col min="20" max="20" width="14" hidden="0" customWidth="1"/>
    <x:col min="21" max="21" width="90" hidden="0" customWidth="1"/>
    <x:col min="22" max="22" width="7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s="3" t="str">
        <x:v>竞品原始图片清单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34" customHeight="1">
      <x:c r="A5" s="7" t="str">
        <x:v>Material_ID</x:v>
      </x:c>
      <x:c r="B5" s="7" t="str">
        <x:v>品牌</x:v>
      </x:c>
      <x:c r="C5" s="7" t="str">
        <x:v>平台</x:v>
      </x:c>
      <x:c r="D5" s="7" t="str">
        <x:v>来源类别</x:v>
      </x:c>
      <x:c r="E5" s="7" t="str">
        <x:v>范围</x:v>
      </x:c>
      <x:c r="F5" s="7" t="str">
        <x:v>图像形态</x:v>
      </x:c>
      <x:c r="G5" s="7" t="str">
        <x:v>宽px</x:v>
      </x:c>
      <x:c r="H5" s="7" t="str">
        <x:v>高px</x:v>
      </x:c>
      <x:c r="I5" s="7" t="str">
        <x:v>比例</x:v>
      </x:c>
      <x:c r="J5" s="7" t="str">
        <x:v>卖点</x:v>
      </x:c>
      <x:c r="K5" s="7" t="str">
        <x:v>场景</x:v>
      </x:c>
      <x:c r="L5" s="7" t="str">
        <x:v>图片</x:v>
      </x:c>
      <x:c r="M5" s="7" t="str">
        <x:v>广告来源</x:v>
      </x:c>
      <x:c r="N5" s="7" t="str">
        <x:v>投放记录ID</x:v>
      </x:c>
      <x:c r="O5" s="7" t="str">
        <x:v>日期证据</x:v>
      </x:c>
      <x:c r="P5" s="7" t="str">
        <x:v>标题短摘录</x:v>
      </x:c>
      <x:c r="Q5" s="7" t="str">
        <x:v>正文短摘录</x:v>
      </x:c>
      <x:c r="R5" s="7" t="str">
        <x:v>落地页</x:v>
      </x:c>
      <x:c r="S5" s="7" t="str">
        <x:v>促销</x:v>
      </x:c>
      <x:c r="T5" s="7" t="str">
        <x:v>完整人物</x:v>
      </x:c>
      <x:c r="U5" s="7" t="str">
        <x:v>图片相对路径</x:v>
      </x:c>
      <x:c r="V5" s="7" t="str">
        <x:v>SHA256</x:v>
      </x:c>
    </x:row>
    <x:row r="6" ht="115" customHeight="1">
      <x:c r="A6" s="9" t="str">
        <x:v>FLEX-GOOG-012</x:v>
      </x:c>
      <x:c r="B6" s="9" t="str">
        <x:v>FlexiSpot</x:v>
      </x:c>
      <x:c r="C6" s="9" t="str">
        <x:v>Google</x:v>
      </x:c>
      <x:c r="D6" s="9" t="str">
        <x:v>A</x:v>
      </x:c>
      <x:c r="E6" s="9" t="str">
        <x:v>升降桌核心或使用场景</x:v>
      </x:c>
      <x:c r="F6" s="9" t="str">
        <x:v>真实广告内的图像组件（非完整广告版式）</x:v>
      </x:c>
      <x:c r="G6" s="9" t="n">
        <x:v>720</x:v>
      </x:c>
      <x:c r="H6" s="9" t="n">
        <x:v>500</x:v>
      </x:c>
      <x:c r="I6" s="9" t="str">
        <x:v>36:25</x:v>
      </x:c>
      <x:c r="J6" s="9" t="str">
        <x:v>小空间适用|桌面空间</x:v>
      </x:c>
      <x:c r="K6" s="9" t="str">
        <x:v>卧室办公</x:v>
      </x:c>
      <x:c r="L6" s="9" t="str">
        <x:v>FlexiSpot/Google/FLEX-GOOG-012.jpg</x:v>
      </x:c>
      <x:c r="M6" s="9" t="str">
        <x:v>https://adstransparency.google.com/advertiser/AR05859906800018522113/creative/CR03255810653201367041?region=DE&amp;start-date=2026-09-16&amp;end-date=2026-10-15&amp;format=IMAGE</x:v>
      </x:c>
      <x:c r="N6" s="9" t="str">
        <x:v>FLEX-GAD-012</x:v>
      </x:c>
      <x:c r="O6" s="9" t="str">
        <x:v>详情日期与德国地区已核验</x:v>
      </x:c>
      <x:c r="P6" s="9" t="str">
        <x:v>FlexiSpot Doppelmotor Elektrisches Tischgestell E2Q mit 4 Beinen, Schwarz, Traglast 150kg</x:v>
      </x:c>
      <x:c r="Q6" s="9"/>
      <x:c r="R6" s="9"/>
      <x:c r="S6" s="9" t="str">
        <x:v>否</x:v>
      </x:c>
      <x:c r="T6" s="9" t="str">
        <x:v>否</x:v>
      </x:c>
      <x:c r="U6" s="9" t="str">
        <x:v>01_Original_Competitor_Ads/FlexiSpot/Google/FLEX-GOOG-012.jpg</x:v>
      </x:c>
      <x:c r="V6" s="9" t="str">
        <x:v>dda5a8754f1074728148ca722c295512b1602749a81d9ccf3f7176c3118f3d76</x:v>
      </x:c>
    </x:row>
    <x:row r="7" ht="115" customHeight="1">
      <x:c r="A7" s="9" t="str">
        <x:v>FLEX-GOOG-029</x:v>
      </x:c>
      <x:c r="B7" s="9" t="str">
        <x:v>FlexiSpot</x:v>
      </x:c>
      <x:c r="C7" s="9" t="str">
        <x:v>Google</x:v>
      </x:c>
      <x:c r="D7" s="9" t="str">
        <x:v>A</x:v>
      </x:c>
      <x:c r="E7" s="9" t="str">
        <x:v>升降桌核心或使用场景</x:v>
      </x:c>
      <x:c r="F7" s="9" t="str">
        <x:v>真实广告内的图像组件（非完整广告版式）</x:v>
      </x:c>
      <x:c r="G7" s="9" t="n">
        <x:v>720</x:v>
      </x:c>
      <x:c r="H7" s="9" t="n">
        <x:v>860</x:v>
      </x:c>
      <x:c r="I7" s="9" t="str">
        <x:v>36:43</x:v>
      </x:c>
      <x:c r="J7" s="9" t="str">
        <x:v>简约设计|桌面空间</x:v>
      </x:c>
      <x:c r="K7" s="9" t="str">
        <x:v>Home Office</x:v>
      </x:c>
      <x:c r="L7" s="9" t="str">
        <x:v>FlexiSpot/Google/FLEX-GOOG-029.jpg</x:v>
      </x:c>
      <x:c r="M7" s="9" t="str">
        <x:v>https://adstransparency.google.com/advertiser/AR05859906800018522113/creative/CR03533669619636109313?region=DE&amp;start-date=2026-09-16&amp;end-date=2026-10-15&amp;format=IMAGE</x:v>
      </x:c>
      <x:c r="N7" s="9" t="str">
        <x:v>FLEX-GAD-029</x:v>
      </x:c>
      <x:c r="O7" s="9" t="str">
        <x:v>详情日期与德国地区已核验</x:v>
      </x:c>
      <x:c r="P7" s="9" t="str">
        <x:v>FlexiSpot Doppelmotor Elektrisches Tischgestell E2Q mit 4 Beinen, Schwarz, 180x80cm, Traglast 150kg</x:v>
      </x:c>
      <x:c r="Q7" s="9"/>
      <x:c r="R7" s="9"/>
      <x:c r="S7" s="9" t="str">
        <x:v>否</x:v>
      </x:c>
      <x:c r="T7" s="9" t="str">
        <x:v>否</x:v>
      </x:c>
      <x:c r="U7" s="9" t="str">
        <x:v>01_Original_Competitor_Ads/FlexiSpot/Google/FLEX-GOOG-029.jpg</x:v>
      </x:c>
      <x:c r="V7" s="9" t="str">
        <x:v>7682557977bc04bf2b50f70b07991f9ddbac6cd4627b6fca49ee4bdc14aa7704</x:v>
      </x:c>
    </x:row>
    <x:row r="8" ht="115" customHeight="1">
      <x:c r="A8" s="9" t="str">
        <x:v>FLEX-GOOG-033</x:v>
      </x:c>
      <x:c r="B8" s="9" t="str">
        <x:v>FlexiSpot</x:v>
      </x:c>
      <x:c r="C8" s="9" t="str">
        <x:v>Google</x:v>
      </x:c>
      <x:c r="D8" s="9" t="str">
        <x:v>A</x:v>
      </x:c>
      <x:c r="E8" s="9" t="str">
        <x:v>升降桌核心或使用场景</x:v>
      </x:c>
      <x:c r="F8" s="9" t="str">
        <x:v>完整导出广告画面</x:v>
      </x:c>
      <x:c r="G8" s="9" t="n">
        <x:v>600</x:v>
      </x:c>
      <x:c r="H8" s="9" t="n">
        <x:v>1200</x:v>
      </x:c>
      <x:c r="I8" s="9" t="str">
        <x:v>1:2</x:v>
      </x:c>
      <x:c r="J8" s="9" t="str">
        <x:v>桌面收纳|产品细节</x:v>
      </x:c>
      <x:c r="K8" s="9" t="str">
        <x:v>功能信息图</x:v>
      </x:c>
      <x:c r="L8" s="9" t="str">
        <x:v>FlexiSpot/Google/FLEX-GOOG-033.png</x:v>
      </x:c>
      <x:c r="M8" s="9" t="str">
        <x:v>https://adstransparency.google.com/advertiser/AR05859906800018522113/creative/CR15680583967407341569?region=DE&amp;start-date=2026-09-16&amp;end-date=2026-10-15&amp;format=IMAGE</x:v>
      </x:c>
      <x:c r="N8" s="9" t="str">
        <x:v>FLEX-GAD-033</x:v>
      </x:c>
      <x:c r="O8" s="9" t="str">
        <x:v>详情日期与德国地区已核验</x:v>
      </x:c>
      <x:c r="P8" s="9"/>
      <x:c r="Q8" s="9"/>
      <x:c r="R8" s="9"/>
      <x:c r="S8" s="9" t="str">
        <x:v>否</x:v>
      </x:c>
      <x:c r="T8" s="9" t="str">
        <x:v>否</x:v>
      </x:c>
      <x:c r="U8" s="9" t="str">
        <x:v>01_Original_Competitor_Ads/FlexiSpot/Google/FLEX-GOOG-033.png</x:v>
      </x:c>
      <x:c r="V8" s="9" t="str">
        <x:v>8ca086356f10e8250e45408dae82409a94a20f4a80256c8b980054b6a7eb566f</x:v>
      </x:c>
    </x:row>
    <x:row r="9" ht="115" customHeight="1">
      <x:c r="A9" s="9" t="str">
        <x:v>FLEX-GOOG-036</x:v>
      </x:c>
      <x:c r="B9" s="9" t="str">
        <x:v>FlexiSpot</x:v>
      </x:c>
      <x:c r="C9" s="9" t="str">
        <x:v>Google</x:v>
      </x:c>
      <x:c r="D9" s="9" t="str">
        <x:v>A</x:v>
      </x:c>
      <x:c r="E9" s="9" t="str">
        <x:v>升降桌核心或使用场景</x:v>
      </x:c>
      <x:c r="F9" s="9" t="str">
        <x:v>真实广告内的图像组件（非完整广告版式）</x:v>
      </x:c>
      <x:c r="G9" s="9" t="n">
        <x:v>720</x:v>
      </x:c>
      <x:c r="H9" s="9" t="n">
        <x:v>500</x:v>
      </x:c>
      <x:c r="I9" s="9" t="str">
        <x:v>36:25</x:v>
      </x:c>
      <x:c r="J9" s="9" t="str">
        <x:v>大尺寸桌面|多设备</x:v>
      </x:c>
      <x:c r="K9" s="9" t="str">
        <x:v>多设备工作场景</x:v>
      </x:c>
      <x:c r="L9" s="9" t="str">
        <x:v>FlexiSpot/Google/FLEX-GOOG-036.jpg</x:v>
      </x:c>
      <x:c r="M9" s="9" t="str">
        <x:v>https://adstransparency.google.com/advertiser/AR05859906800018522113/creative/CR08296844176885022721?region=DE&amp;start-date=2026-09-16&amp;end-date=2026-10-15&amp;format=IMAGE</x:v>
      </x:c>
      <x:c r="N9" s="9" t="str">
        <x:v>FLEX-GAD-036</x:v>
      </x:c>
      <x:c r="O9" s="9" t="str">
        <x:v>详情日期与德国地区已核验</x:v>
      </x:c>
      <x:c r="P9" s="9" t="str">
        <x:v>FlexiSpot E5 Pro elektrisch höhenverstellbarer Schreibtisch mit Dual-Motor, 3-stufigem Gestell und 140 kg Tragkraft.</x:v>
      </x:c>
      <x:c r="Q9" s="9"/>
      <x:c r="R9" s="9"/>
      <x:c r="S9" s="9" t="str">
        <x:v>否</x:v>
      </x:c>
      <x:c r="T9" s="9" t="str">
        <x:v>否</x:v>
      </x:c>
      <x:c r="U9" s="9" t="str">
        <x:v>01_Original_Competitor_Ads/FlexiSpot/Google/FLEX-GOOG-036.jpg</x:v>
      </x:c>
      <x:c r="V9" s="9" t="str">
        <x:v>74802f4833002daa956a73adce1cce3809e0f1904cf06703a56e494f84610efc</x:v>
      </x:c>
    </x:row>
    <x:row r="10" ht="115" customHeight="1">
      <x:c r="A10" s="9" t="str">
        <x:v>FLEX-GOOG-040</x:v>
      </x:c>
      <x:c r="B10" s="9" t="str">
        <x:v>FlexiSpot</x:v>
      </x:c>
      <x:c r="C10" s="9" t="str">
        <x:v>Google</x:v>
      </x:c>
      <x:c r="D10" s="9" t="str">
        <x:v>A</x:v>
      </x:c>
      <x:c r="E10" s="9" t="str">
        <x:v>升降桌核心或使用场景</x:v>
      </x:c>
      <x:c r="F10" s="9" t="str">
        <x:v>真实广告内的图像组件（非完整广告版式）</x:v>
      </x:c>
      <x:c r="G10" s="9" t="n">
        <x:v>720</x:v>
      </x:c>
      <x:c r="H10" s="9" t="n">
        <x:v>860</x:v>
      </x:c>
      <x:c r="I10" s="9" t="str">
        <x:v>36:43</x:v>
      </x:c>
      <x:c r="J10" s="9" t="str">
        <x:v>简约设计|真实使用</x:v>
      </x:c>
      <x:c r="K10" s="9" t="str">
        <x:v>创作工作室</x:v>
      </x:c>
      <x:c r="L10" s="9" t="str">
        <x:v>FlexiSpot/Google/FLEX-GOOG-040.jpg</x:v>
      </x:c>
      <x:c r="M10" s="9" t="str">
        <x:v>https://adstransparency.google.com/advertiser/AR05859906800018522113/creative/CR02363687156309819393?region=DE&amp;start-date=2026-09-16&amp;end-date=2026-10-15&amp;format=IMAGE</x:v>
      </x:c>
      <x:c r="N10" s="9" t="str">
        <x:v>FLEX-GAD-040</x:v>
      </x:c>
      <x:c r="O10" s="9" t="str">
        <x:v>详情日期与德国地区已核验</x:v>
      </x:c>
      <x:c r="P10" s="9" t="str">
        <x:v>FlexiSpot Elektrisch höhenverstellbarer Massivholz-Schreibtisch mit integriertem Design, 140 x 80 cm</x:v>
      </x:c>
      <x:c r="Q10" s="9"/>
      <x:c r="R10" s="9"/>
      <x:c r="S10" s="9" t="str">
        <x:v>否</x:v>
      </x:c>
      <x:c r="T10" s="9" t="str">
        <x:v>否</x:v>
      </x:c>
      <x:c r="U10" s="9" t="str">
        <x:v>01_Original_Competitor_Ads/FlexiSpot/Google/FLEX-GOOG-040.jpg</x:v>
      </x:c>
      <x:c r="V10" s="9" t="str">
        <x:v>75073aa98068b5d8d48b1dcf55a548d934024fccf552cb08277e64308e61561c</x:v>
      </x:c>
    </x:row>
    <x:row r="11" ht="115" customHeight="1">
      <x:c r="A11" s="9" t="str">
        <x:v>FLEX-GOOG-041</x:v>
      </x:c>
      <x:c r="B11" s="9" t="str">
        <x:v>FlexiSpot</x:v>
      </x:c>
      <x:c r="C11" s="9" t="str">
        <x:v>Google</x:v>
      </x:c>
      <x:c r="D11" s="9" t="str">
        <x:v>A</x:v>
      </x:c>
      <x:c r="E11" s="9" t="str">
        <x:v>升降桌核心或使用场景</x:v>
      </x:c>
      <x:c r="F11" s="9" t="str">
        <x:v>完整导出广告画面</x:v>
      </x:c>
      <x:c r="G11" s="9" t="n">
        <x:v>1200</x:v>
      </x:c>
      <x:c r="H11" s="9" t="n">
        <x:v>628</x:v>
      </x:c>
      <x:c r="I11" s="9" t="str">
        <x:v>300:157</x:v>
      </x:c>
      <x:c r="J11" s="9" t="str">
        <x:v>电动升降|产品细节</x:v>
      </x:c>
      <x:c r="K11" s="9" t="str">
        <x:v>Home Office</x:v>
      </x:c>
      <x:c r="L11" s="9" t="str">
        <x:v>FlexiSpot/Google/FLEX-GOOG-041.png</x:v>
      </x:c>
      <x:c r="M11" s="9" t="str">
        <x:v>https://adstransparency.google.com/advertiser/AR05859906800018522113/creative/CR11519118823496089601?region=DE&amp;start-date=2026-09-16&amp;end-date=2026-10-15&amp;format=IMAGE</x:v>
      </x:c>
      <x:c r="N11" s="9" t="str">
        <x:v>FLEX-GAD-041</x:v>
      </x:c>
      <x:c r="O11" s="9" t="str">
        <x:v>德国日期筛选列表已核验；单条首次/最后日期未读取</x:v>
      </x:c>
      <x:c r="P11" s="9" t="str">
        <x:v>Höhenverstellbar</x:v>
      </x:c>
      <x:c r="Q11" s="9"/>
      <x:c r="R11" s="9"/>
      <x:c r="S11" s="9" t="str">
        <x:v>否</x:v>
      </x:c>
      <x:c r="T11" s="9" t="str">
        <x:v>否</x:v>
      </x:c>
      <x:c r="U11" s="9" t="str">
        <x:v>01_Original_Competitor_Ads/FlexiSpot/Google/FLEX-GOOG-041.png</x:v>
      </x:c>
      <x:c r="V11" s="9" t="str">
        <x:v>d0754dde54caa7fe64d43dcfd6933e4635a2cc67b8d820d89889c6b4314873cb</x:v>
      </x:c>
    </x:row>
    <x:row r="12" ht="115" customHeight="1">
      <x:c r="A12" s="9" t="str">
        <x:v>FLEX-GOOG-048</x:v>
      </x:c>
      <x:c r="B12" s="9" t="str">
        <x:v>FlexiSpot</x:v>
      </x:c>
      <x:c r="C12" s="9" t="str">
        <x:v>Google</x:v>
      </x:c>
      <x:c r="D12" s="9" t="str">
        <x:v>A</x:v>
      </x:c>
      <x:c r="E12" s="9" t="str">
        <x:v>升降桌核心或使用场景</x:v>
      </x:c>
      <x:c r="F12" s="9" t="str">
        <x:v>完整导出广告画面</x:v>
      </x:c>
      <x:c r="G12" s="9" t="n">
        <x:v>600</x:v>
      </x:c>
      <x:c r="H12" s="9" t="n">
        <x:v>1200</x:v>
      </x:c>
      <x:c r="I12" s="9" t="str">
        <x:v>1:2</x:v>
      </x:c>
      <x:c r="J12" s="9" t="str">
        <x:v>价格与折扣|承重和稳定性</x:v>
      </x:c>
      <x:c r="K12" s="9" t="str">
        <x:v>促销版式</x:v>
      </x:c>
      <x:c r="L12" s="9" t="str">
        <x:v>FlexiSpot/Google/FLEX-GOOG-048.png</x:v>
      </x:c>
      <x:c r="M12" s="9" t="str">
        <x:v>https://adstransparency.google.com/advertiser/AR05859906800018522113/creative/CR11342925383679868929?region=DE&amp;start-date=2026-09-16&amp;end-date=2026-10-15&amp;format=IMAGE</x:v>
      </x:c>
      <x:c r="N12" s="9" t="str">
        <x:v>FLEX-GAD-048</x:v>
      </x:c>
      <x:c r="O12" s="9" t="str">
        <x:v>详情日期与德国地区已核验</x:v>
      </x:c>
      <x:c r="P12" s="9"/>
      <x:c r="Q12" s="9"/>
      <x:c r="R12" s="9"/>
      <x:c r="S12" s="9" t="str">
        <x:v>是</x:v>
      </x:c>
      <x:c r="T12" s="9" t="str">
        <x:v>否</x:v>
      </x:c>
      <x:c r="U12" s="9" t="str">
        <x:v>01_Original_Competitor_Ads/FlexiSpot/Google/FLEX-GOOG-048.png</x:v>
      </x:c>
      <x:c r="V12" s="9" t="str">
        <x:v>03034b42bde4f650b2ba046734da794876df2b9ea7f97bffb7d0ad96c667654c</x:v>
      </x:c>
    </x:row>
    <x:row r="13" ht="115" customHeight="1">
      <x:c r="A13" s="9" t="str">
        <x:v>FLEX-GOOG-057</x:v>
      </x:c>
      <x:c r="B13" s="9" t="str">
        <x:v>FlexiSpot</x:v>
      </x:c>
      <x:c r="C13" s="9" t="str">
        <x:v>Google</x:v>
      </x:c>
      <x:c r="D13" s="9" t="str">
        <x:v>A</x:v>
      </x:c>
      <x:c r="E13" s="9" t="str">
        <x:v>升降桌核心或使用场景</x:v>
      </x:c>
      <x:c r="F13" s="9" t="str">
        <x:v>真实广告内的图像组件（非完整广告版式）</x:v>
      </x:c>
      <x:c r="G13" s="9" t="n">
        <x:v>1440</x:v>
      </x:c>
      <x:c r="H13" s="9" t="n">
        <x:v>1720</x:v>
      </x:c>
      <x:c r="I13" s="9" t="str">
        <x:v>36:43</x:v>
      </x:c>
      <x:c r="J13" s="9" t="str">
        <x:v>桌面收纳|多设备</x:v>
      </x:c>
      <x:c r="K13" s="9" t="str">
        <x:v>创作工作室</x:v>
      </x:c>
      <x:c r="L13" s="9" t="str">
        <x:v>FlexiSpot/Google/FLEX-GOOG-057.jpg</x:v>
      </x:c>
      <x:c r="M13" s="9" t="str">
        <x:v>https://adstransparency.google.com/advertiser/AR05859906800018522113/creative/CR12061477561239076865?region=DE&amp;start-date=2026-09-16&amp;end-date=2026-10-15&amp;format=IMAGE</x:v>
      </x:c>
      <x:c r="N13" s="9" t="str">
        <x:v>FLEX-GAD-057;FLEX-GAD-093</x:v>
      </x:c>
      <x:c r="O13" s="9" t="str">
        <x:v>德国日期筛选列表已核验；单条首次/最后日期未读取</x:v>
      </x:c>
      <x:c r="P13" s="9" t="str">
        <x:v>FlexiSpot E7 Hive Massivholz-Schreibtisch mit modularem Stauraum, elektrisch höhenverstellbar,140x80cm</x:v>
      </x:c>
      <x:c r="Q13" s="9"/>
      <x:c r="R13" s="9"/>
      <x:c r="S13" s="9" t="str">
        <x:v>否</x:v>
      </x:c>
      <x:c r="T13" s="9" t="str">
        <x:v>否</x:v>
      </x:c>
      <x:c r="U13" s="9" t="str">
        <x:v>01_Original_Competitor_Ads/FlexiSpot/Google/FLEX-GOOG-057.jpg</x:v>
      </x:c>
      <x:c r="V13" s="9" t="str">
        <x:v>b7c24e4c87712cc611ff8664f511718dc1cb03d242b9a0bc47f06a32786e2324</x:v>
      </x:c>
    </x:row>
    <x:row r="14" ht="115" customHeight="1">
      <x:c r="A14" s="9" t="str">
        <x:v>FLEX-GOOG-059</x:v>
      </x:c>
      <x:c r="B14" s="9" t="str">
        <x:v>FlexiSpot</x:v>
      </x:c>
      <x:c r="C14" s="9" t="str">
        <x:v>Google</x:v>
      </x:c>
      <x:c r="D14" s="9" t="str">
        <x:v>A</x:v>
      </x:c>
      <x:c r="E14" s="9" t="str">
        <x:v>升降桌核心或使用场景</x:v>
      </x:c>
      <x:c r="F14" s="9" t="str">
        <x:v>真实广告内的图像组件（非完整广告版式）</x:v>
      </x:c>
      <x:c r="G14" s="9" t="n">
        <x:v>800</x:v>
      </x:c>
      <x:c r="H14" s="9" t="n">
        <x:v>800</x:v>
      </x:c>
      <x:c r="I14" s="9" t="str">
        <x:v>1:1</x:v>
      </x:c>
      <x:c r="J14" s="9" t="str">
        <x:v>简约设计|桌面空间</x:v>
      </x:c>
      <x:c r="K14" s="9" t="str">
        <x:v>简约布景</x:v>
      </x:c>
      <x:c r="L14" s="9" t="str">
        <x:v>FlexiSpot/Google/FLEX-GOOG-059.jpg</x:v>
      </x:c>
      <x:c r="M14" s="9" t="str">
        <x:v>https://adstransparency.google.com/advertiser/AR05859906800018522113/creative/CR07168334819712040961?region=DE&amp;start-date=2026-09-16&amp;end-date=2026-10-15&amp;format=IMAGE</x:v>
      </x:c>
      <x:c r="N14" s="9" t="str">
        <x:v>FLEX-GAD-059</x:v>
      </x:c>
      <x:c r="O14" s="9" t="str">
        <x:v>详情日期与德国地区已核验</x:v>
      </x:c>
      <x:c r="P14" s="9" t="str">
        <x:v>FlexiSpot Elektrisch höhenverstellbarer schreibtisch E1 Pro, nur Tischgestell, Weiß</x:v>
      </x:c>
      <x:c r="Q14" s="9"/>
      <x:c r="R14" s="9"/>
      <x:c r="S14" s="9" t="str">
        <x:v>否</x:v>
      </x:c>
      <x:c r="T14" s="9" t="str">
        <x:v>否</x:v>
      </x:c>
      <x:c r="U14" s="9" t="str">
        <x:v>01_Original_Competitor_Ads/FlexiSpot/Google/FLEX-GOOG-059.jpg</x:v>
      </x:c>
      <x:c r="V14" s="9" t="str">
        <x:v>03e01312af114eebaab826149378b8ec45daa05afd3e4fe0b940dc10e7c7ec41</x:v>
      </x:c>
    </x:row>
    <x:row r="15" ht="115" customHeight="1">
      <x:c r="A15" s="9" t="str">
        <x:v>FLEX-GOOG-066</x:v>
      </x:c>
      <x:c r="B15" s="9" t="str">
        <x:v>FlexiSpot</x:v>
      </x:c>
      <x:c r="C15" s="9" t="str">
        <x:v>Google</x:v>
      </x:c>
      <x:c r="D15" s="9" t="str">
        <x:v>A</x:v>
      </x:c>
      <x:c r="E15" s="9" t="str">
        <x:v>升降桌核心或使用场景</x:v>
      </x:c>
      <x:c r="F15" s="9" t="str">
        <x:v>真实广告内的图像组件（非完整广告版式）</x:v>
      </x:c>
      <x:c r="G15" s="9" t="n">
        <x:v>1052</x:v>
      </x:c>
      <x:c r="H15" s="9" t="n">
        <x:v>800</x:v>
      </x:c>
      <x:c r="I15" s="9" t="str">
        <x:v>263:200</x:v>
      </x:c>
      <x:c r="J15" s="9" t="str">
        <x:v>小空间适用|产品细节</x:v>
      </x:c>
      <x:c r="K15" s="9" t="str">
        <x:v>纯产品展示</x:v>
      </x:c>
      <x:c r="L15" s="9" t="str">
        <x:v>FlexiSpot/Google/FLEX-GOOG-066.jpg</x:v>
      </x:c>
      <x:c r="M15" s="9" t="str">
        <x:v>https://adstransparency.google.com/advertiser/AR05859906800018522113/creative/CR16824565042321031169?region=DE&amp;start-date=2026-09-16&amp;end-date=2026-10-15&amp;format=IMAGE</x:v>
      </x:c>
      <x:c r="N15" s="9" t="str">
        <x:v>FLEX-GAD-066</x:v>
      </x:c>
      <x:c r="O15" s="9" t="str">
        <x:v>详情日期与德国地区已核验</x:v>
      </x:c>
      <x:c r="P15" s="9" t="str">
        <x:v>FlexiSpot Höhenverstellbarer Schreibtisch mit Schublade Q3, Schwarz, 120 x 60 cm, Inklusive 1 USB- und 1 Typ-C-Anschluss</x:v>
      </x:c>
      <x:c r="Q15" s="9"/>
      <x:c r="R15" s="9"/>
      <x:c r="S15" s="9" t="str">
        <x:v>否</x:v>
      </x:c>
      <x:c r="T15" s="9" t="str">
        <x:v>否</x:v>
      </x:c>
      <x:c r="U15" s="9" t="str">
        <x:v>01_Original_Competitor_Ads/FlexiSpot/Google/FLEX-GOOG-066.jpg</x:v>
      </x:c>
      <x:c r="V15" s="9" t="str">
        <x:v>00dab464c2fa1bf39f02d57d724ae29cc13699b45ae0dcd34093f10a373e9b8e</x:v>
      </x:c>
    </x:row>
    <x:row r="16" ht="115" customHeight="1">
      <x:c r="A16" s="9" t="str">
        <x:v>FLEX-GOOG-067</x:v>
      </x:c>
      <x:c r="B16" s="9" t="str">
        <x:v>FlexiSpot</x:v>
      </x:c>
      <x:c r="C16" s="9" t="str">
        <x:v>Google</x:v>
      </x:c>
      <x:c r="D16" s="9" t="str">
        <x:v>A</x:v>
      </x:c>
      <x:c r="E16" s="9" t="str">
        <x:v>升降桌核心或使用场景</x:v>
      </x:c>
      <x:c r="F16" s="9" t="str">
        <x:v>真实广告内的图像组件（非完整广告版式）</x:v>
      </x:c>
      <x:c r="G16" s="9" t="n">
        <x:v>720</x:v>
      </x:c>
      <x:c r="H16" s="9" t="n">
        <x:v>860</x:v>
      </x:c>
      <x:c r="I16" s="9" t="str">
        <x:v>36:43</x:v>
      </x:c>
      <x:c r="J16" s="9" t="str">
        <x:v>多设备|简约设计</x:v>
      </x:c>
      <x:c r="K16" s="9" t="str">
        <x:v>Home Office</x:v>
      </x:c>
      <x:c r="L16" s="9" t="str">
        <x:v>FlexiSpot/Google/FLEX-GOOG-067.jpg</x:v>
      </x:c>
      <x:c r="M16" s="9" t="str">
        <x:v>https://adstransparency.google.com/advertiser/AR05859906800018522113/creative/CR08255880771680600065?region=DE&amp;start-date=2026-09-16&amp;end-date=2026-10-15&amp;format=IMAGE</x:v>
      </x:c>
      <x:c r="N16" s="9" t="str">
        <x:v>FLEX-GAD-067</x:v>
      </x:c>
      <x:c r="O16" s="9" t="str">
        <x:v>详情日期与德国地区已核验</x:v>
      </x:c>
      <x:c r="P16" s="9" t="str">
        <x:v>FlexiSpot E5 Pro elektrisch höhenverstellbarer Schreibtisch mit Dual-Motor, 3-stufigem Gestell und 140 kg Tragkraft.</x:v>
      </x:c>
      <x:c r="Q16" s="9"/>
      <x:c r="R16" s="9"/>
      <x:c r="S16" s="9" t="str">
        <x:v>否</x:v>
      </x:c>
      <x:c r="T16" s="9" t="str">
        <x:v>否</x:v>
      </x:c>
      <x:c r="U16" s="9" t="str">
        <x:v>01_Original_Competitor_Ads/FlexiSpot/Google/FLEX-GOOG-067.jpg</x:v>
      </x:c>
      <x:c r="V16" s="9" t="str">
        <x:v>7dd5c29681d7fe51e35fc36a6395da4cb863bff33f4f65f74734941d965de76b</x:v>
      </x:c>
    </x:row>
    <x:row r="17" ht="115" customHeight="1">
      <x:c r="A17" s="9" t="str">
        <x:v>FLEX-GOOG-072</x:v>
      </x:c>
      <x:c r="B17" s="9" t="str">
        <x:v>FlexiSpot</x:v>
      </x:c>
      <x:c r="C17" s="9" t="str">
        <x:v>Google</x:v>
      </x:c>
      <x:c r="D17" s="9" t="str">
        <x:v>A</x:v>
      </x:c>
      <x:c r="E17" s="9" t="str">
        <x:v>升降桌核心或使用场景</x:v>
      </x:c>
      <x:c r="F17" s="9" t="str">
        <x:v>完整导出广告画面</x:v>
      </x:c>
      <x:c r="G17" s="9" t="n">
        <x:v>1200</x:v>
      </x:c>
      <x:c r="H17" s="9" t="n">
        <x:v>628</x:v>
      </x:c>
      <x:c r="I17" s="9" t="str">
        <x:v>300:157</x:v>
      </x:c>
      <x:c r="J17" s="9" t="str">
        <x:v>价格与折扣|电动升降|产品细节</x:v>
      </x:c>
      <x:c r="K17" s="9" t="str">
        <x:v>功能信息图</x:v>
      </x:c>
      <x:c r="L17" s="9" t="str">
        <x:v>FlexiSpot/Google/FLEX-GOOG-072.png</x:v>
      </x:c>
      <x:c r="M17" s="9" t="str">
        <x:v>https://adstransparency.google.com/advertiser/AR05859906800018522113/creative/CR01571343068328624129?region=DE&amp;start-date=2026-09-16&amp;end-date=2026-10-15&amp;format=IMAGE</x:v>
      </x:c>
      <x:c r="N17" s="9" t="str">
        <x:v>FLEX-GAD-072</x:v>
      </x:c>
      <x:c r="O17" s="9" t="str">
        <x:v>详情日期与德国地区已核验</x:v>
      </x:c>
      <x:c r="P17" s="9" t="str">
        <x:v>Schreibtisch</x:v>
      </x:c>
      <x:c r="Q17" s="9"/>
      <x:c r="R17" s="9"/>
      <x:c r="S17" s="9" t="str">
        <x:v>是</x:v>
      </x:c>
      <x:c r="T17" s="9" t="str">
        <x:v>否</x:v>
      </x:c>
      <x:c r="U17" s="9" t="str">
        <x:v>01_Original_Competitor_Ads/FlexiSpot/Google/FLEX-GOOG-072.png</x:v>
      </x:c>
      <x:c r="V17" s="9" t="str">
        <x:v>3aafedf9bebff8f291be9d06a20b40319331b4f2b566b4c41b87a8a5cd8ea92f</x:v>
      </x:c>
    </x:row>
    <x:row r="18" ht="115" customHeight="1">
      <x:c r="A18" s="9" t="str">
        <x:v>FLEX-GOOG-077</x:v>
      </x:c>
      <x:c r="B18" s="9" t="str">
        <x:v>FlexiSpot</x:v>
      </x:c>
      <x:c r="C18" s="9" t="str">
        <x:v>Google</x:v>
      </x:c>
      <x:c r="D18" s="9" t="str">
        <x:v>A</x:v>
      </x:c>
      <x:c r="E18" s="9" t="str">
        <x:v>升降桌核心或使用场景</x:v>
      </x:c>
      <x:c r="F18" s="9" t="str">
        <x:v>完整导出广告画面</x:v>
      </x:c>
      <x:c r="G18" s="9" t="n">
        <x:v>960</x:v>
      </x:c>
      <x:c r="H18" s="9" t="n">
        <x:v>1200</x:v>
      </x:c>
      <x:c r="I18" s="9" t="str">
        <x:v>4:5</x:v>
      </x:c>
      <x:c r="J18" s="9" t="str">
        <x:v>价格与折扣|桌架</x:v>
      </x:c>
      <x:c r="K18" s="9" t="str">
        <x:v>促销版式</x:v>
      </x:c>
      <x:c r="L18" s="9" t="str">
        <x:v>FlexiSpot/Google/FLEX-GOOG-077.jpg</x:v>
      </x:c>
      <x:c r="M18" s="9" t="str">
        <x:v>https://adstransparency.google.com/advertiser/AR05859906800018522113/creative/CR06660262591144656897?region=DE&amp;start-date=2026-09-16&amp;end-date=2026-10-15&amp;format=IMAGE</x:v>
      </x:c>
      <x:c r="N18" s="9" t="str">
        <x:v>FLEX-GAD-077</x:v>
      </x:c>
      <x:c r="O18" s="9" t="str">
        <x:v>详情日期与德国地区已核验</x:v>
      </x:c>
      <x:c r="P18" s="9" t="str">
        <x:v>Flexispot E5 Pro: Elektrischer Stehschreibtisch mit 140</x:v>
      </x:c>
      <x:c r="Q18" s="9"/>
      <x:c r="R18" s="9"/>
      <x:c r="S18" s="9" t="str">
        <x:v>是</x:v>
      </x:c>
      <x:c r="T18" s="9" t="str">
        <x:v>否</x:v>
      </x:c>
      <x:c r="U18" s="9" t="str">
        <x:v>01_Original_Competitor_Ads/FlexiSpot/Google/FLEX-GOOG-077.jpg</x:v>
      </x:c>
      <x:c r="V18" s="9" t="str">
        <x:v>fc36a8afd2c55ef392434f92233a997df74910c824cb6064b99700283091482a</x:v>
      </x:c>
    </x:row>
    <x:row r="19" ht="115" customHeight="1">
      <x:c r="A19" s="9" t="str">
        <x:v>FLEX-GOOG-090</x:v>
      </x:c>
      <x:c r="B19" s="9" t="str">
        <x:v>FlexiSpot</x:v>
      </x:c>
      <x:c r="C19" s="9" t="str">
        <x:v>Google</x:v>
      </x:c>
      <x:c r="D19" s="9" t="str">
        <x:v>A</x:v>
      </x:c>
      <x:c r="E19" s="9" t="str">
        <x:v>升降桌核心或使用场景</x:v>
      </x:c>
      <x:c r="F19" s="9" t="str">
        <x:v>真实广告内的图像组件（非完整广告版式）</x:v>
      </x:c>
      <x:c r="G19" s="9" t="n">
        <x:v>800</x:v>
      </x:c>
      <x:c r="H19" s="9" t="n">
        <x:v>800</x:v>
      </x:c>
      <x:c r="I19" s="9" t="str">
        <x:v>1:1</x:v>
      </x:c>
      <x:c r="J19" s="9" t="str">
        <x:v>桌面空间|空间适配</x:v>
      </x:c>
      <x:c r="K19" s="9" t="str">
        <x:v>居家转角办公</x:v>
      </x:c>
      <x:c r="L19" s="9" t="str">
        <x:v>FlexiSpot/Google/FLEX-GOOG-090.jpg</x:v>
      </x:c>
      <x:c r="M19" s="9" t="str">
        <x:v>https://adstransparency.google.com/advertiser/AR05859906800018522113/creative/CR06509432041312878593?region=DE&amp;start-date=2026-09-16&amp;end-date=2026-10-15&amp;format=IMAGE</x:v>
      </x:c>
      <x:c r="N19" s="9" t="str">
        <x:v>FLEX-GAD-090</x:v>
      </x:c>
      <x:c r="O19" s="9" t="str">
        <x:v>详情日期与德国地区已核验</x:v>
      </x:c>
      <x:c r="P19" s="9" t="str">
        <x:v>FlexiSpot Q1L Elektrisch Höhenverstellbarer Eckschreibtisch L-Form mit Memory-Funktion, 180 x 120cm, Schwarz</x:v>
      </x:c>
      <x:c r="Q19" s="9"/>
      <x:c r="R19" s="9"/>
      <x:c r="S19" s="9" t="str">
        <x:v>否</x:v>
      </x:c>
      <x:c r="T19" s="9" t="str">
        <x:v>否</x:v>
      </x:c>
      <x:c r="U19" s="9" t="str">
        <x:v>01_Original_Competitor_Ads/FlexiSpot/Google/FLEX-GOOG-090.jpg</x:v>
      </x:c>
      <x:c r="V19" s="9" t="str">
        <x:v>1b241d3b71210c75ca56d159761596529234fd81c4c552765718aca389f41a7a</x:v>
      </x:c>
    </x:row>
    <x:row r="20" ht="115" customHeight="1">
      <x:c r="A20" s="9" t="str">
        <x:v>FLEX-GOOG-096</x:v>
      </x:c>
      <x:c r="B20" s="9" t="str">
        <x:v>FlexiSpot</x:v>
      </x:c>
      <x:c r="C20" s="9" t="str">
        <x:v>Google</x:v>
      </x:c>
      <x:c r="D20" s="9" t="str">
        <x:v>A</x:v>
      </x:c>
      <x:c r="E20" s="9" t="str">
        <x:v>升降桌核心或使用场景</x:v>
      </x:c>
      <x:c r="F20" s="9" t="str">
        <x:v>真实广告内的图像组件（非完整广告版式）</x:v>
      </x:c>
      <x:c r="G20" s="9" t="n">
        <x:v>720</x:v>
      </x:c>
      <x:c r="H20" s="9" t="n">
        <x:v>860</x:v>
      </x:c>
      <x:c r="I20" s="9" t="str">
        <x:v>36:43</x:v>
      </x:c>
      <x:c r="J20" s="9" t="str">
        <x:v>桌椅搭配|简约设计</x:v>
      </x:c>
      <x:c r="K20" s="9" t="str">
        <x:v>Home Office</x:v>
      </x:c>
      <x:c r="L20" s="9" t="str">
        <x:v>FlexiSpot/Google/FLEX-GOOG-096.jpg</x:v>
      </x:c>
      <x:c r="M20" s="9" t="str">
        <x:v>https://adstransparency.google.com/advertiser/AR05859906800018522113/creative/CR17474212578514173953?region=DE&amp;start-date=2026-09-16&amp;end-date=2026-10-15&amp;format=IMAGE</x:v>
      </x:c>
      <x:c r="N20" s="9" t="str">
        <x:v>FLEX-GAD-096</x:v>
      </x:c>
      <x:c r="O20" s="9" t="str">
        <x:v>详情日期与德国地区已核验</x:v>
      </x:c>
      <x:c r="P20" s="9" t="str">
        <x:v>FlexiSpot E5 Elektrisch höhenverstellbares Tischgestell – Stabil &amp; Flexibel</x:v>
      </x:c>
      <x:c r="Q20" s="9"/>
      <x:c r="R20" s="9"/>
      <x:c r="S20" s="9" t="str">
        <x:v>否</x:v>
      </x:c>
      <x:c r="T20" s="9" t="str">
        <x:v>否</x:v>
      </x:c>
      <x:c r="U20" s="9" t="str">
        <x:v>01_Original_Competitor_Ads/FlexiSpot/Google/FLEX-GOOG-096.jpg</x:v>
      </x:c>
      <x:c r="V20" s="9" t="str">
        <x:v>2056bfbaef4d0eb1ccda7b7be3edc05647245cd27f70552a99f7904c1aa1d0ce</x:v>
      </x:c>
    </x:row>
    <x:row r="21" ht="115" customHeight="1">
      <x:c r="A21" s="9" t="str">
        <x:v>FLEX-GOOG-121</x:v>
      </x:c>
      <x:c r="B21" s="9" t="str">
        <x:v>FlexiSpot</x:v>
      </x:c>
      <x:c r="C21" s="9" t="str">
        <x:v>Google</x:v>
      </x:c>
      <x:c r="D21" s="9" t="str">
        <x:v>A</x:v>
      </x:c>
      <x:c r="E21" s="9" t="str">
        <x:v>升降桌核心或使用场景</x:v>
      </x:c>
      <x:c r="F21" s="9" t="str">
        <x:v>完整导出广告画面</x:v>
      </x:c>
      <x:c r="G21" s="9" t="n">
        <x:v>1200</x:v>
      </x:c>
      <x:c r="H21" s="9" t="n">
        <x:v>627</x:v>
      </x:c>
      <x:c r="I21" s="9" t="str">
        <x:v>400:209</x:v>
      </x:c>
      <x:c r="J21" s="9" t="str">
        <x:v>多设备|情绪氛围</x:v>
      </x:c>
      <x:c r="K21" s="9" t="str">
        <x:v>游戏娱乐</x:v>
      </x:c>
      <x:c r="L21" s="9" t="str">
        <x:v>FlexiSpot/Google/FLEX-GOOG-121.png</x:v>
      </x:c>
      <x:c r="M21" s="9" t="str">
        <x:v>https://adstransparency.google.com/advertiser/AR05859906800018522113/creative/CR01007296730015727617?region=DE&amp;start-date=2026-09-16&amp;end-date=2026-10-15&amp;format=IMAGE</x:v>
      </x:c>
      <x:c r="N21" s="9" t="str">
        <x:v>FLEX-GAD-121</x:v>
      </x:c>
      <x:c r="O21" s="9" t="str">
        <x:v>详情日期与德国地区已核验</x:v>
      </x:c>
      <x:c r="P21" s="9" t="str">
        <x:v>180 kg, 50 mm/s für dein</x:v>
      </x:c>
      <x:c r="Q21" s="9"/>
      <x:c r="R21" s="9"/>
      <x:c r="S21" s="9" t="str">
        <x:v>否</x:v>
      </x:c>
      <x:c r="T21" s="9" t="str">
        <x:v>否</x:v>
      </x:c>
      <x:c r="U21" s="9" t="str">
        <x:v>01_Original_Competitor_Ads/FlexiSpot/Google/FLEX-GOOG-121.png</x:v>
      </x:c>
      <x:c r="V21" s="9" t="str">
        <x:v>191a042e501f47e8ac3433d86f95ed09c46a67b0673219b586c49cdf7b49fbba</x:v>
      </x:c>
    </x:row>
    <x:row r="22" ht="115" customHeight="1">
      <x:c r="A22" s="9" t="str">
        <x:v>FLEX-GOOG-127</x:v>
      </x:c>
      <x:c r="B22" s="9" t="str">
        <x:v>FlexiSpot</x:v>
      </x:c>
      <x:c r="C22" s="9" t="str">
        <x:v>Google</x:v>
      </x:c>
      <x:c r="D22" s="9" t="str">
        <x:v>A</x:v>
      </x:c>
      <x:c r="E22" s="9" t="str">
        <x:v>升降桌核心或使用场景</x:v>
      </x:c>
      <x:c r="F22" s="9" t="str">
        <x:v>完整导出广告画面</x:v>
      </x:c>
      <x:c r="G22" s="9" t="n">
        <x:v>600</x:v>
      </x:c>
      <x:c r="H22" s="9" t="n">
        <x:v>1200</x:v>
      </x:c>
      <x:c r="I22" s="9" t="str">
        <x:v>1:2</x:v>
      </x:c>
      <x:c r="J22" s="9" t="str">
        <x:v>价格与折扣|桌面收纳</x:v>
      </x:c>
      <x:c r="K22" s="9" t="str">
        <x:v>促销版式</x:v>
      </x:c>
      <x:c r="L22" s="9" t="str">
        <x:v>FlexiSpot/Google/FLEX-GOOG-127.png</x:v>
      </x:c>
      <x:c r="M22" s="9" t="str">
        <x:v>https://adstransparency.google.com/advertiser/AR05859906800018522113/creative/CR01207614004701167617?region=DE&amp;start-date=2026-09-16&amp;end-date=2026-10-15&amp;format=IMAGE</x:v>
      </x:c>
      <x:c r="N22" s="9" t="str">
        <x:v>FLEX-GAD-127</x:v>
      </x:c>
      <x:c r="O22" s="9" t="str">
        <x:v>德国日期筛选列表已核验；单条首次/最后日期未读取</x:v>
      </x:c>
      <x:c r="P22" s="9"/>
      <x:c r="Q22" s="9"/>
      <x:c r="R22" s="9"/>
      <x:c r="S22" s="9" t="str">
        <x:v>是</x:v>
      </x:c>
      <x:c r="T22" s="9" t="str">
        <x:v>否</x:v>
      </x:c>
      <x:c r="U22" s="9" t="str">
        <x:v>01_Original_Competitor_Ads/FlexiSpot/Google/FLEX-GOOG-127.png</x:v>
      </x:c>
      <x:c r="V22" s="9" t="str">
        <x:v>cb2f4d545a6252e1ebbb638e7d10eca3a4ced9c43ac7578306ea0c11309397f6</x:v>
      </x:c>
    </x:row>
    <x:row r="23" ht="115" customHeight="1">
      <x:c r="A23" s="9" t="str">
        <x:v>FLEX-GOOG-143</x:v>
      </x:c>
      <x:c r="B23" s="9" t="str">
        <x:v>FlexiSpot</x:v>
      </x:c>
      <x:c r="C23" s="9" t="str">
        <x:v>Google</x:v>
      </x:c>
      <x:c r="D23" s="9" t="str">
        <x:v>A</x:v>
      </x:c>
      <x:c r="E23" s="9" t="str">
        <x:v>升降桌核心或使用场景</x:v>
      </x:c>
      <x:c r="F23" s="9" t="str">
        <x:v>真实广告内的图像组件（非完整广告版式）</x:v>
      </x:c>
      <x:c r="G23" s="9" t="n">
        <x:v>720</x:v>
      </x:c>
      <x:c r="H23" s="9" t="n">
        <x:v>860</x:v>
      </x:c>
      <x:c r="I23" s="9" t="str">
        <x:v>36:43</x:v>
      </x:c>
      <x:c r="J23" s="9" t="str">
        <x:v>任务适配|产品细节</x:v>
      </x:c>
      <x:c r="K23" s="9" t="str">
        <x:v>创作工作室</x:v>
      </x:c>
      <x:c r="L23" s="9" t="str">
        <x:v>FlexiSpot/Google/FLEX-GOOG-143.jpg</x:v>
      </x:c>
      <x:c r="M23" s="9" t="str">
        <x:v>https://adstransparency.google.com/advertiser/AR05859906800018522113/creative/CR14924859389067132929?region=DE&amp;start-date=2026-09-16&amp;end-date=2026-10-15&amp;format=IMAGE</x:v>
      </x:c>
      <x:c r="N23" s="9" t="str">
        <x:v>FLEX-GAD-143</x:v>
      </x:c>
      <x:c r="O23" s="9" t="str">
        <x:v>详情日期与德国地区已核验</x:v>
      </x:c>
      <x:c r="P23" s="9" t="str">
        <x:v>FlexiSpot Höhenverstellbarer Schreibtisch mit 0–15° stufenlos neigbarer Tischplatte, 140x78cm</x:v>
      </x:c>
      <x:c r="Q23" s="9"/>
      <x:c r="R23" s="9"/>
      <x:c r="S23" s="9" t="str">
        <x:v>否</x:v>
      </x:c>
      <x:c r="T23" s="9" t="str">
        <x:v>否</x:v>
      </x:c>
      <x:c r="U23" s="9" t="str">
        <x:v>01_Original_Competitor_Ads/FlexiSpot/Google/FLEX-GOOG-143.jpg</x:v>
      </x:c>
      <x:c r="V23" s="9" t="str">
        <x:v>5b9d3c51d2a94f8df5a02738e9461a20798b54974feb580f333abf76c34675c5</x:v>
      </x:c>
    </x:row>
    <x:row r="24" ht="115" customHeight="1">
      <x:c r="A24" s="9" t="str">
        <x:v>FLEX-GOOG-146</x:v>
      </x:c>
      <x:c r="B24" s="9" t="str">
        <x:v>FlexiSpot</x:v>
      </x:c>
      <x:c r="C24" s="9" t="str">
        <x:v>Google</x:v>
      </x:c>
      <x:c r="D24" s="9" t="str">
        <x:v>A</x:v>
      </x:c>
      <x:c r="E24" s="9" t="str">
        <x:v>升降桌核心或使用场景</x:v>
      </x:c>
      <x:c r="F24" s="9" t="str">
        <x:v>完整导出广告画面</x:v>
      </x:c>
      <x:c r="G24" s="9" t="n">
        <x:v>600</x:v>
      </x:c>
      <x:c r="H24" s="9" t="n">
        <x:v>1200</x:v>
      </x:c>
      <x:c r="I24" s="9" t="str">
        <x:v>1:2</x:v>
      </x:c>
      <x:c r="J24" s="9" t="str">
        <x:v>任务适配|价格与折扣</x:v>
      </x:c>
      <x:c r="K24" s="9" t="str">
        <x:v>促销版式</x:v>
      </x:c>
      <x:c r="L24" s="9" t="str">
        <x:v>FlexiSpot/Google/FLEX-GOOG-146.png</x:v>
      </x:c>
      <x:c r="M24" s="9" t="str">
        <x:v>https://adstransparency.google.com/advertiser/AR05859906800018522113/creative/CR06967885053875453953?region=DE&amp;start-date=2026-09-16&amp;end-date=2026-10-15&amp;format=IMAGE</x:v>
      </x:c>
      <x:c r="N24" s="9" t="str">
        <x:v>FLEX-GAD-146</x:v>
      </x:c>
      <x:c r="O24" s="9" t="str">
        <x:v>德国日期筛选列表已核验；单条首次/最后日期未读取</x:v>
      </x:c>
      <x:c r="P24" s="9"/>
      <x:c r="Q24" s="9"/>
      <x:c r="R24" s="9"/>
      <x:c r="S24" s="9" t="str">
        <x:v>是</x:v>
      </x:c>
      <x:c r="T24" s="9" t="str">
        <x:v>否</x:v>
      </x:c>
      <x:c r="U24" s="9" t="str">
        <x:v>01_Original_Competitor_Ads/FlexiSpot/Google/FLEX-GOOG-146.png</x:v>
      </x:c>
      <x:c r="V24" s="9" t="str">
        <x:v>c122c34b7158d01abda496062b2fabc4506dbc75a99d4c86aa16b09cca210544</x:v>
      </x:c>
    </x:row>
    <x:row r="25" ht="115" customHeight="1">
      <x:c r="A25" s="9" t="str">
        <x:v>FLEX-GOOG-149</x:v>
      </x:c>
      <x:c r="B25" s="9" t="str">
        <x:v>FlexiSpot</x:v>
      </x:c>
      <x:c r="C25" s="9" t="str">
        <x:v>Google</x:v>
      </x:c>
      <x:c r="D25" s="9" t="str">
        <x:v>A</x:v>
      </x:c>
      <x:c r="E25" s="9" t="str">
        <x:v>升降桌核心或使用场景</x:v>
      </x:c>
      <x:c r="F25" s="9" t="str">
        <x:v>真实广告内的图像组件（非完整广告版式）</x:v>
      </x:c>
      <x:c r="G25" s="9" t="n">
        <x:v>620</x:v>
      </x:c>
      <x:c r="H25" s="9" t="n">
        <x:v>620</x:v>
      </x:c>
      <x:c r="I25" s="9" t="str">
        <x:v>1:1</x:v>
      </x:c>
      <x:c r="J25" s="9" t="str">
        <x:v>桌架|大尺寸桌面</x:v>
      </x:c>
      <x:c r="K25" s="9" t="str">
        <x:v>多设备工作场景</x:v>
      </x:c>
      <x:c r="L25" s="9" t="str">
        <x:v>FlexiSpot/Google/FLEX-GOOG-149.jpg</x:v>
      </x:c>
      <x:c r="M25" s="9" t="str">
        <x:v>https://adstransparency.google.com/advertiser/AR05859906800018522113/creative/CR15402972124800876545?region=DE&amp;start-date=2026-09-16&amp;end-date=2026-10-15&amp;format=IMAGE</x:v>
      </x:c>
      <x:c r="N25" s="9" t="str">
        <x:v>FLEX-GAD-149</x:v>
      </x:c>
      <x:c r="O25" s="9" t="str">
        <x:v>详情日期与德国地区已核验</x:v>
      </x:c>
      <x:c r="P25" s="9" t="str">
        <x:v>FlexiSpot E7 Plus Höhenverstellbares Tischgestell für Chefschreibtisch, passend für 200×80 cm Tischplatten, bis 200 kg, Schwarz/Weiß</x:v>
      </x:c>
      <x:c r="Q25" s="9"/>
      <x:c r="R25" s="9"/>
      <x:c r="S25" s="9" t="str">
        <x:v>否</x:v>
      </x:c>
      <x:c r="T25" s="9" t="str">
        <x:v>否</x:v>
      </x:c>
      <x:c r="U25" s="9" t="str">
        <x:v>01_Original_Competitor_Ads/FlexiSpot/Google/FLEX-GOOG-149.jpg</x:v>
      </x:c>
      <x:c r="V25" s="9" t="str">
        <x:v>07dcc3a90d37ed17eda0693d547307d988ca786a6cf23d1bb65feba10829a3c7</x:v>
      </x:c>
    </x:row>
    <x:row r="26" ht="115" customHeight="1">
      <x:c r="A26" s="9" t="str">
        <x:v>FLEX-GOOG-151</x:v>
      </x:c>
      <x:c r="B26" s="9" t="str">
        <x:v>FlexiSpot</x:v>
      </x:c>
      <x:c r="C26" s="9" t="str">
        <x:v>Google</x:v>
      </x:c>
      <x:c r="D26" s="9" t="str">
        <x:v>A</x:v>
      </x:c>
      <x:c r="E26" s="9" t="str">
        <x:v>升降桌核心或使用场景</x:v>
      </x:c>
      <x:c r="F26" s="9" t="str">
        <x:v>完整导出广告画面</x:v>
      </x:c>
      <x:c r="G26" s="9" t="n">
        <x:v>600</x:v>
      </x:c>
      <x:c r="H26" s="9" t="n">
        <x:v>500</x:v>
      </x:c>
      <x:c r="I26" s="9" t="str">
        <x:v>6:5</x:v>
      </x:c>
      <x:c r="J26" s="9" t="str">
        <x:v>多工位|真实使用</x:v>
      </x:c>
      <x:c r="K26" s="9" t="str">
        <x:v>客厅办公</x:v>
      </x:c>
      <x:c r="L26" s="9" t="str">
        <x:v>FlexiSpot/Google/FLEX-GOOG-151.png</x:v>
      </x:c>
      <x:c r="M26" s="9" t="str">
        <x:v>https://adstransparency.google.com/advertiser/AR05859906800018522113/creative/CR14890043387733344257?region=DE&amp;start-date=2026-09-16&amp;end-date=2026-10-15&amp;format=IMAGE</x:v>
      </x:c>
      <x:c r="N26" s="9" t="str">
        <x:v>FLEX-GAD-151</x:v>
      </x:c>
      <x:c r="O26" s="9" t="str">
        <x:v>德国日期筛选列表已核验；单条首次/最后日期未读取</x:v>
      </x:c>
      <x:c r="P26" s="9"/>
      <x:c r="Q26" s="9"/>
      <x:c r="R26" s="9"/>
      <x:c r="S26" s="9" t="str">
        <x:v>否</x:v>
      </x:c>
      <x:c r="T26" s="9" t="str">
        <x:v>否</x:v>
      </x:c>
      <x:c r="U26" s="9" t="str">
        <x:v>01_Original_Competitor_Ads/FlexiSpot/Google/FLEX-GOOG-151.png</x:v>
      </x:c>
      <x:c r="V26" s="9" t="str">
        <x:v>8f7beea8097ea0f109e50dbba2aabf3cb8721e216e03260543e56b2139e493e8</x:v>
      </x:c>
    </x:row>
    <x:row r="27" ht="115" customHeight="1">
      <x:c r="A27" s="9" t="str">
        <x:v>DESK-GOOG-002</x:v>
      </x:c>
      <x:c r="B27" s="9" t="str">
        <x:v>Desktronic</x:v>
      </x:c>
      <x:c r="C27" s="9" t="str">
        <x:v>Google</x:v>
      </x:c>
      <x:c r="D27" s="9" t="str">
        <x:v>A</x:v>
      </x:c>
      <x:c r="E27" s="9" t="str">
        <x:v>升降桌核心或使用场景</x:v>
      </x:c>
      <x:c r="F27" s="9" t="str">
        <x:v>真实广告内的图像组件（非完整广告版式）</x:v>
      </x:c>
      <x:c r="G27" s="9" t="n">
        <x:v>4096</x:v>
      </x:c>
      <x:c r="H27" s="9" t="n">
        <x:v>2619</x:v>
      </x:c>
      <x:c r="I27" s="9" t="str">
        <x:v>4096:2619</x:v>
      </x:c>
      <x:c r="J27" s="9" t="str">
        <x:v>简约设计|配色选择</x:v>
      </x:c>
      <x:c r="K27" s="9" t="str">
        <x:v>纯产品展示</x:v>
      </x:c>
      <x:c r="L27" s="9" t="str">
        <x:v>Desktronic/Google/DESK-GOOG-002.jpg</x:v>
      </x:c>
      <x:c r="M27" s="9" t="str">
        <x:v>https://adstransparency.google.com/advertiser/AR09286273997568212993/creative/CR08236498374547734529?region=DE&amp;start-date=2026-09-16&amp;end-date=2026-10-15&amp;format=IMAGE</x:v>
      </x:c>
      <x:c r="N27" s="9" t="str">
        <x:v>DESK-GAD-002</x:v>
      </x:c>
      <x:c r="O27" s="9" t="str">
        <x:v>详情日期与德国地区已核验</x:v>
      </x:c>
      <x:c r="P27" s="9" t="str">
        <x:v>Desktronic HomeOne - Elektrisch höhenverstellbarer Schreibtisch - 120x60 cm Rosa - mit 2 Motoren</x:v>
      </x:c>
      <x:c r="Q27" s="9"/>
      <x:c r="R27" s="9"/>
      <x:c r="S27" s="9" t="str">
        <x:v>否</x:v>
      </x:c>
      <x:c r="T27" s="9" t="str">
        <x:v>否</x:v>
      </x:c>
      <x:c r="U27" s="9" t="str">
        <x:v>01_Original_Competitor_Ads/Desktronic/Google/DESK-GOOG-002.jpg</x:v>
      </x:c>
      <x:c r="V27" s="9" t="str">
        <x:v>04b464d4333712dd111e33639a9e4e66f1182df65de0cd0e9f801f7c1cea6815</x:v>
      </x:c>
    </x:row>
    <x:row r="28" ht="115" customHeight="1">
      <x:c r="A28" s="9" t="str">
        <x:v>DESK-GOOG-006</x:v>
      </x:c>
      <x:c r="B28" s="9" t="str">
        <x:v>Desktronic</x:v>
      </x:c>
      <x:c r="C28" s="9" t="str">
        <x:v>Google</x:v>
      </x:c>
      <x:c r="D28" s="9" t="str">
        <x:v>A</x:v>
      </x:c>
      <x:c r="E28" s="9" t="str">
        <x:v>升降桌核心或使用场景</x:v>
      </x:c>
      <x:c r="F28" s="9" t="str">
        <x:v>真实广告内的图像组件（非完整广告版式）</x:v>
      </x:c>
      <x:c r="G28" s="9" t="n">
        <x:v>4096</x:v>
      </x:c>
      <x:c r="H28" s="9" t="n">
        <x:v>2619</x:v>
      </x:c>
      <x:c r="I28" s="9" t="str">
        <x:v>4096:2619</x:v>
      </x:c>
      <x:c r="J28" s="9" t="str">
        <x:v>简约设计|配色选择</x:v>
      </x:c>
      <x:c r="K28" s="9" t="str">
        <x:v>纯产品展示</x:v>
      </x:c>
      <x:c r="L28" s="9" t="str">
        <x:v>Desktronic/Google/DESK-GOOG-006.jpg</x:v>
      </x:c>
      <x:c r="M28" s="9" t="str">
        <x:v>https://adstransparency.google.com/advertiser/AR02313082571728093185/creative/CR03295019727474130945?region=DE&amp;start-date=2026-09-16&amp;end-date=2026-10-15&amp;format=IMAGE</x:v>
      </x:c>
      <x:c r="N28" s="9" t="str">
        <x:v>DESK-GAD-006</x:v>
      </x:c>
      <x:c r="O28" s="9" t="str">
        <x:v>详情日期与德国地区已核验</x:v>
      </x:c>
      <x:c r="P28" s="9" t="str">
        <x:v>Desktronic HomeOne -</x:v>
      </x:c>
      <x:c r="Q28" s="9"/>
      <x:c r="R28" s="9"/>
      <x:c r="S28" s="9" t="str">
        <x:v>否</x:v>
      </x:c>
      <x:c r="T28" s="9" t="str">
        <x:v>否</x:v>
      </x:c>
      <x:c r="U28" s="9" t="str">
        <x:v>01_Original_Competitor_Ads/Desktronic/Google/DESK-GOOG-006.jpg</x:v>
      </x:c>
      <x:c r="V28" s="9" t="str">
        <x:v>ccc47fefb17f80ac9f83192339704eead0270a2711008b63b3c2ba5d797176ea</x:v>
      </x:c>
    </x:row>
    <x:row r="29" ht="115" customHeight="1">
      <x:c r="A29" s="9" t="str">
        <x:v>DESK-GOOG-008</x:v>
      </x:c>
      <x:c r="B29" s="9" t="str">
        <x:v>Desktronic</x:v>
      </x:c>
      <x:c r="C29" s="9" t="str">
        <x:v>Google</x:v>
      </x:c>
      <x:c r="D29" s="9" t="str">
        <x:v>A</x:v>
      </x:c>
      <x:c r="E29" s="9" t="str">
        <x:v>升降桌核心或使用场景</x:v>
      </x:c>
      <x:c r="F29" s="9" t="str">
        <x:v>真实广告内的图像组件（非完整广告版式）</x:v>
      </x:c>
      <x:c r="G29" s="9" t="n">
        <x:v>4096</x:v>
      </x:c>
      <x:c r="H29" s="9" t="n">
        <x:v>2619</x:v>
      </x:c>
      <x:c r="I29" s="9" t="str">
        <x:v>4096:2619</x:v>
      </x:c>
      <x:c r="J29" s="9" t="str">
        <x:v>简约设计|产品细节</x:v>
      </x:c>
      <x:c r="K29" s="9" t="str">
        <x:v>纯产品展示</x:v>
      </x:c>
      <x:c r="L29" s="9" t="str">
        <x:v>Desktronic/Google/DESK-GOOG-008.jpg</x:v>
      </x:c>
      <x:c r="M29" s="9" t="str">
        <x:v>https://adstransparency.google.com/advertiser/AR02313082571728093185/creative/CR12382245836531171329?region=DE&amp;start-date=2026-09-16&amp;end-date=2026-10-15&amp;format=IMAGE</x:v>
      </x:c>
      <x:c r="N29" s="9" t="str">
        <x:v>DESK-GAD-008</x:v>
      </x:c>
      <x:c r="O29" s="9" t="str">
        <x:v>详情日期与德国地区已核验</x:v>
      </x:c>
      <x:c r="P29" s="9"/>
      <x:c r="Q29" s="9"/>
      <x:c r="R29" s="9"/>
      <x:c r="S29" s="9" t="str">
        <x:v>否</x:v>
      </x:c>
      <x:c r="T29" s="9" t="str">
        <x:v>否</x:v>
      </x:c>
      <x:c r="U29" s="9" t="str">
        <x:v>01_Original_Competitor_Ads/Desktronic/Google/DESK-GOOG-008.jpg</x:v>
      </x:c>
      <x:c r="V29" s="9" t="str">
        <x:v>a92ff6115549ed225aad41b6300848027080974d2e0e4cc8e32c5c20132d6aa4</x:v>
      </x:c>
    </x:row>
    <x:row r="30" ht="115" customHeight="1">
      <x:c r="A30" s="9" t="str">
        <x:v>DESK-GOOG-011</x:v>
      </x:c>
      <x:c r="B30" s="9" t="str">
        <x:v>Desktronic</x:v>
      </x:c>
      <x:c r="C30" s="9" t="str">
        <x:v>Google</x:v>
      </x:c>
      <x:c r="D30" s="9" t="str">
        <x:v>A</x:v>
      </x:c>
      <x:c r="E30" s="9" t="str">
        <x:v>升降桌核心或使用场景</x:v>
      </x:c>
      <x:c r="F30" s="9" t="str">
        <x:v>真实广告内的图像组件（非完整广告版式）</x:v>
      </x:c>
      <x:c r="G30" s="9" t="n">
        <x:v>4096</x:v>
      </x:c>
      <x:c r="H30" s="9" t="n">
        <x:v>2619</x:v>
      </x:c>
      <x:c r="I30" s="9" t="str">
        <x:v>4096:2619</x:v>
      </x:c>
      <x:c r="J30" s="9" t="str">
        <x:v>大尺寸桌面|简约设计</x:v>
      </x:c>
      <x:c r="K30" s="9" t="str">
        <x:v>纯产品展示</x:v>
      </x:c>
      <x:c r="L30" s="9" t="str">
        <x:v>Desktronic/Google/DESK-GOOG-011.jpg</x:v>
      </x:c>
      <x:c r="M30" s="9" t="str">
        <x:v>https://adstransparency.google.com/advertiser/AR02313082571728093185/creative/CR03804415725091684353?region=DE&amp;start-date=2026-09-16&amp;end-date=2026-10-15&amp;format=IMAGE</x:v>
      </x:c>
      <x:c r="N30" s="9" t="str">
        <x:v>DESK-GAD-011</x:v>
      </x:c>
      <x:c r="O30" s="9" t="str">
        <x:v>详情日期与德国地区已核验</x:v>
      </x:c>
      <x:c r="P30" s="9" t="str">
        <x:v>Desktronic HomePro - Weiß / Walnuss / 200x80 cm - premium elektrisch höhenverstellbarer Schreibtisch mit 2 Motoren</x:v>
      </x:c>
      <x:c r="Q30" s="9"/>
      <x:c r="R30" s="9"/>
      <x:c r="S30" s="9" t="str">
        <x:v>否</x:v>
      </x:c>
      <x:c r="T30" s="9" t="str">
        <x:v>否</x:v>
      </x:c>
      <x:c r="U30" s="9" t="str">
        <x:v>01_Original_Competitor_Ads/Desktronic/Google/DESK-GOOG-011.jpg</x:v>
      </x:c>
      <x:c r="V30" s="9" t="str">
        <x:v>065d0933d1a4a584219f59cf7944f647a53a8ab04faa69b5c509c9023285f2c8</x:v>
      </x:c>
    </x:row>
    <x:row r="31" ht="115" customHeight="1">
      <x:c r="A31" s="9" t="str">
        <x:v>DESK-GOOG-014</x:v>
      </x:c>
      <x:c r="B31" s="9" t="str">
        <x:v>Desktronic</x:v>
      </x:c>
      <x:c r="C31" s="9" t="str">
        <x:v>Google</x:v>
      </x:c>
      <x:c r="D31" s="9" t="str">
        <x:v>A</x:v>
      </x:c>
      <x:c r="E31" s="9" t="str">
        <x:v>升降桌核心或使用场景</x:v>
      </x:c>
      <x:c r="F31" s="9" t="str">
        <x:v>真实广告内的图像组件（非完整广告版式）</x:v>
      </x:c>
      <x:c r="G31" s="9" t="n">
        <x:v>4096</x:v>
      </x:c>
      <x:c r="H31" s="9" t="n">
        <x:v>2619</x:v>
      </x:c>
      <x:c r="I31" s="9" t="str">
        <x:v>4096:2619</x:v>
      </x:c>
      <x:c r="J31" s="9" t="str">
        <x:v>简约设计|配色选择</x:v>
      </x:c>
      <x:c r="K31" s="9" t="str">
        <x:v>纯产品展示</x:v>
      </x:c>
      <x:c r="L31" s="9" t="str">
        <x:v>Desktronic/Google/DESK-GOOG-014.jpg</x:v>
      </x:c>
      <x:c r="M31" s="9" t="str">
        <x:v>https://adstransparency.google.com/advertiser/AR02313082571728093185/creative/CR10260902828373442561?region=DE&amp;start-date=2026-09-16&amp;end-date=2026-10-15&amp;format=IMAGE</x:v>
      </x:c>
      <x:c r="N31" s="9" t="str">
        <x:v>DESK-GAD-014</x:v>
      </x:c>
      <x:c r="O31" s="9" t="str">
        <x:v>详情日期与德国地区已核验</x:v>
      </x:c>
      <x:c r="P31" s="9" t="str">
        <x:v>Desktronic HomeOne - Olivgrün / Gedecktes Rosa / 120x60 cm - elektrisch höhenverstellbarer Schreibtisch mit 2 Motoren</x:v>
      </x:c>
      <x:c r="Q31" s="9"/>
      <x:c r="R31" s="9"/>
      <x:c r="S31" s="9" t="str">
        <x:v>否</x:v>
      </x:c>
      <x:c r="T31" s="9" t="str">
        <x:v>否</x:v>
      </x:c>
      <x:c r="U31" s="9" t="str">
        <x:v>01_Original_Competitor_Ads/Desktronic/Google/DESK-GOOG-014.jpg</x:v>
      </x:c>
      <x:c r="V31" s="9" t="str">
        <x:v>5bf2feb08cfbccafad9f92ff0f0e6ad276bf0fe61f4910a1e1233ae51ffcb6d1</x:v>
      </x:c>
    </x:row>
    <x:row r="32" ht="115" customHeight="1">
      <x:c r="A32" s="9" t="str">
        <x:v>DESK-GOOG-031</x:v>
      </x:c>
      <x:c r="B32" s="9" t="str">
        <x:v>Desktronic</x:v>
      </x:c>
      <x:c r="C32" s="9" t="str">
        <x:v>Google</x:v>
      </x:c>
      <x:c r="D32" s="9" t="str">
        <x:v>A</x:v>
      </x:c>
      <x:c r="E32" s="9" t="str">
        <x:v>升降桌核心或使用场景</x:v>
      </x:c>
      <x:c r="F32" s="9" t="str">
        <x:v>真实广告内的图像组件（非完整广告版式）</x:v>
      </x:c>
      <x:c r="G32" s="9" t="n">
        <x:v>4096</x:v>
      </x:c>
      <x:c r="H32" s="9" t="n">
        <x:v>2772</x:v>
      </x:c>
      <x:c r="I32" s="9" t="str">
        <x:v>1024:693</x:v>
      </x:c>
      <x:c r="J32" s="9" t="str">
        <x:v>桌架|产品边界</x:v>
      </x:c>
      <x:c r="K32" s="9" t="str">
        <x:v>纯产品展示</x:v>
      </x:c>
      <x:c r="L32" s="9" t="str">
        <x:v>Desktronic/Google/DESK-GOOG-031.jpg</x:v>
      </x:c>
      <x:c r="M32" s="9" t="str">
        <x:v>https://adstransparency.google.com/advertiser/AR09286273997568212993/creative/CR08479722372520214529?region=DE&amp;start-date=2026-09-16&amp;end-date=2026-10-15&amp;format=IMAGE</x:v>
      </x:c>
      <x:c r="N32" s="9" t="str">
        <x:v>DESK-GAD-031</x:v>
      </x:c>
      <x:c r="O32" s="9" t="str">
        <x:v>详情日期与德国地区已核验</x:v>
      </x:c>
      <x:c r="P32" s="9" t="str">
        <x:v>Desktronic HomeOne Schreibtischgestell - Olivgrün</x:v>
      </x:c>
      <x:c r="Q32" s="9"/>
      <x:c r="R32" s="9"/>
      <x:c r="S32" s="9" t="str">
        <x:v>否</x:v>
      </x:c>
      <x:c r="T32" s="9" t="str">
        <x:v>否</x:v>
      </x:c>
      <x:c r="U32" s="9" t="str">
        <x:v>01_Original_Competitor_Ads/Desktronic/Google/DESK-GOOG-031.jpg</x:v>
      </x:c>
      <x:c r="V32" s="9" t="str">
        <x:v>960ba45f4d73dc01bedd0e85a8ea5798f772d48fd4386d0e06d6bc7c633fc3c8</x:v>
      </x:c>
    </x:row>
    <x:row r="33" ht="115" customHeight="1">
      <x:c r="A33" s="9" t="str">
        <x:v>SONG-GOOG-003</x:v>
      </x:c>
      <x:c r="B33" s="9" t="str">
        <x:v>SONGMICS</x:v>
      </x:c>
      <x:c r="C33" s="9" t="str">
        <x:v>Google</x:v>
      </x:c>
      <x:c r="D33" s="9" t="str">
        <x:v>A</x:v>
      </x:c>
      <x:c r="E33" s="9" t="str">
        <x:v>升降桌核心或使用场景</x:v>
      </x:c>
      <x:c r="F33" s="9" t="str">
        <x:v>真实广告内的图像组件（非完整广告版式）</x:v>
      </x:c>
      <x:c r="G33" s="9" t="n">
        <x:v>1500</x:v>
      </x:c>
      <x:c r="H33" s="9" t="n">
        <x:v>1500</x:v>
      </x:c>
      <x:c r="I33" s="9" t="str">
        <x:v>1:1</x:v>
      </x:c>
      <x:c r="J33" s="9" t="str">
        <x:v>大尺寸桌面|多设备|桌面收纳</x:v>
      </x:c>
      <x:c r="K33" s="9" t="str">
        <x:v>多设备工作场景</x:v>
      </x:c>
      <x:c r="L33" s="9" t="str">
        <x:v>SONGMICS/Google/SONG-GOOG-003.jpg</x:v>
      </x:c>
      <x:c r="M33" s="9" t="str">
        <x:v>https://adstransparency.google.com/advertiser/AR14700497126522093569/creative/CR01541967141291425793?region=DE&amp;start-date=2026-09-16&amp;end-date=2026-10-15&amp;format=IMAGE</x:v>
      </x:c>
      <x:c r="N33" s="9" t="str">
        <x:v>SONG-GAD-003</x:v>
      </x:c>
      <x:c r="O33" s="9" t="str">
        <x:v>详情日期与德国地区已核验</x:v>
      </x:c>
      <x:c r="P33" s="9" t="str">
        <x:v>Höhenverstellbarer Schreibtisch elektrisch 70 x 160 x (72-120) cm | SONGMICS</x:v>
      </x:c>
      <x:c r="Q33" s="9"/>
      <x:c r="R33" s="9"/>
      <x:c r="S33" s="9" t="str">
        <x:v>否</x:v>
      </x:c>
      <x:c r="T33" s="9" t="str">
        <x:v>否</x:v>
      </x:c>
      <x:c r="U33" s="9" t="str">
        <x:v>01_Original_Competitor_Ads/SONGMICS/Google/SONG-GOOG-003.jpg</x:v>
      </x:c>
      <x:c r="V33" s="9" t="str">
        <x:v>ba36fccc2774d48e5b2f711a17ba2df4f6c0603f1f8a4321ba17c0e2540ae0c6</x:v>
      </x:c>
    </x:row>
    <x:row r="34" ht="115" customHeight="1">
      <x:c r="A34" s="9" t="str">
        <x:v>SONG-GOOG-024</x:v>
      </x:c>
      <x:c r="B34" s="9" t="str">
        <x:v>SONGMICS</x:v>
      </x:c>
      <x:c r="C34" s="9" t="str">
        <x:v>Google</x:v>
      </x:c>
      <x:c r="D34" s="9" t="str">
        <x:v>A</x:v>
      </x:c>
      <x:c r="E34" s="9" t="str">
        <x:v>升降桌核心或使用场景</x:v>
      </x:c>
      <x:c r="F34" s="9" t="str">
        <x:v>真实广告内的图像组件（非完整广告版式）</x:v>
      </x:c>
      <x:c r="G34" s="9" t="n">
        <x:v>2000</x:v>
      </x:c>
      <x:c r="H34" s="9" t="n">
        <x:v>2000</x:v>
      </x:c>
      <x:c r="I34" s="9" t="str">
        <x:v>1:1</x:v>
      </x:c>
      <x:c r="J34" s="9" t="str">
        <x:v>多设备|桌面收纳</x:v>
      </x:c>
      <x:c r="K34" s="9" t="str">
        <x:v>游戏娱乐</x:v>
      </x:c>
      <x:c r="L34" s="9" t="str">
        <x:v>SONGMICS/Google/SONG-GOOG-024.jpg</x:v>
      </x:c>
      <x:c r="M34" s="9" t="str">
        <x:v>https://adstransparency.google.com/advertiser/AR17451452069343920129/creative/CR17025140015044231169?region=DE&amp;start-date=2026-09-16&amp;end-date=2026-10-15&amp;format=IMAGE</x:v>
      </x:c>
      <x:c r="N34" s="9" t="str">
        <x:v>SONG-GAD-024</x:v>
      </x:c>
      <x:c r="O34" s="9" t="str">
        <x:v>详情日期与德国地区已核验</x:v>
      </x:c>
      <x:c r="P34" s="9" t="str">
        <x:v>VASAGLE Höhenverstellbarer Schreibtisch elektrisch, 60 x 120 x (72-120) cm, stufenlos verstellbar, mit Monitorständer, Haken, Me</x:v>
      </x:c>
      <x:c r="Q34" s="9"/>
      <x:c r="R34" s="9"/>
      <x:c r="S34" s="9" t="str">
        <x:v>否</x:v>
      </x:c>
      <x:c r="T34" s="9" t="str">
        <x:v>否</x:v>
      </x:c>
      <x:c r="U34" s="9" t="str">
        <x:v>01_Original_Competitor_Ads/SONGMICS/Google/SONG-GOOG-024.jpg</x:v>
      </x:c>
      <x:c r="V34" s="9" t="str">
        <x:v>0dfa57116525ba0c492d38289e9f2e5855a6de05afda2e4402a08e6055b9e7f8</x:v>
      </x:c>
    </x:row>
    <x:row r="35" ht="115" customHeight="1">
      <x:c r="A35" s="9" t="str">
        <x:v>SONG-GOOG-027</x:v>
      </x:c>
      <x:c r="B35" s="9" t="str">
        <x:v>SONGMICS</x:v>
      </x:c>
      <x:c r="C35" s="9" t="str">
        <x:v>Google</x:v>
      </x:c>
      <x:c r="D35" s="9" t="str">
        <x:v>A</x:v>
      </x:c>
      <x:c r="E35" s="9" t="str">
        <x:v>升降桌核心或使用场景</x:v>
      </x:c>
      <x:c r="F35" s="9" t="str">
        <x:v>真实广告内的图像组件（非完整广告版式）</x:v>
      </x:c>
      <x:c r="G35" s="9" t="n">
        <x:v>1000</x:v>
      </x:c>
      <x:c r="H35" s="9" t="n">
        <x:v>1000</x:v>
      </x:c>
      <x:c r="I35" s="9" t="str">
        <x:v>1:1</x:v>
      </x:c>
      <x:c r="J35" s="9" t="str">
        <x:v>大尺寸桌面|多设备|桌面收纳</x:v>
      </x:c>
      <x:c r="K35" s="9" t="str">
        <x:v>多设备工作场景</x:v>
      </x:c>
      <x:c r="L35" s="9" t="str">
        <x:v>SONGMICS/Google/SONG-GOOG-027.jpg</x:v>
      </x:c>
      <x:c r="M35" s="9" t="str">
        <x:v>https://adstransparency.google.com/advertiser/AR10991278398063509505/creative/CR01649883803830714369?region=DE&amp;start-date=2026-09-16&amp;end-date=2026-10-15&amp;format=IMAGE</x:v>
      </x:c>
      <x:c r="N35" s="9" t="str">
        <x:v>SONG-GAD-027</x:v>
      </x:c>
      <x:c r="O35" s="9" t="str">
        <x:v>详情日期与德国地区已核验</x:v>
      </x:c>
      <x:c r="P35" s="9" t="str">
        <x:v>SONGMICS Höhenverstellbarer Schreibtisch elektrisch,180 x 80 cm, Vintagebraun,Memory-Funktion für 4 Höhen, für Büro</x:v>
      </x:c>
      <x:c r="Q35" s="9"/>
      <x:c r="R35" s="9"/>
      <x:c r="S35" s="9" t="str">
        <x:v>否</x:v>
      </x:c>
      <x:c r="T35" s="9" t="str">
        <x:v>否</x:v>
      </x:c>
      <x:c r="U35" s="9" t="str">
        <x:v>01_Original_Competitor_Ads/SONGMICS/Google/SONG-GOOG-027.jpg</x:v>
      </x:c>
      <x:c r="V35" s="9" t="str">
        <x:v>2b2523affed14ada112b8f7fd425fe3abb900fcb4b0115a9a89db341512cace5</x:v>
      </x:c>
    </x:row>
    <x:row r="36" ht="115" customHeight="1">
      <x:c r="A36" s="9" t="str">
        <x:v>SONG-GOOG-074</x:v>
      </x:c>
      <x:c r="B36" s="9" t="str">
        <x:v>SONGMICS</x:v>
      </x:c>
      <x:c r="C36" s="9" t="str">
        <x:v>Google</x:v>
      </x:c>
      <x:c r="D36" s="9" t="str">
        <x:v>A</x:v>
      </x:c>
      <x:c r="E36" s="9" t="str">
        <x:v>升降桌核心或使用场景</x:v>
      </x:c>
      <x:c r="F36" s="9" t="str">
        <x:v>真实广告内的图像组件（非完整广告版式）</x:v>
      </x:c>
      <x:c r="G36" s="9" t="n">
        <x:v>2000</x:v>
      </x:c>
      <x:c r="H36" s="9" t="n">
        <x:v>2000</x:v>
      </x:c>
      <x:c r="I36" s="9" t="str">
        <x:v>1:1</x:v>
      </x:c>
      <x:c r="J36" s="9" t="str">
        <x:v>桌架|产品细节</x:v>
      </x:c>
      <x:c r="K36" s="9" t="str">
        <x:v>纯产品展示</x:v>
      </x:c>
      <x:c r="L36" s="9" t="str">
        <x:v>SONGMICS/Google/SONG-GOOG-074.jpg</x:v>
      </x:c>
      <x:c r="M36" s="9" t="str">
        <x:v>https://adstransparency.google.com/advertiser/AR10991278398063509505/creative/CR08718003309811597313?region=DE&amp;start-date=2026-09-16&amp;end-date=2026-10-15&amp;format=IMAGE</x:v>
      </x:c>
      <x:c r="N36" s="9" t="str">
        <x:v>SONG-GAD-074</x:v>
      </x:c>
      <x:c r="O36" s="9" t="str">
        <x:v>详情日期与德国地区已核验</x:v>
      </x:c>
      <x:c r="P36" s="9" t="str">
        <x:v>VASAGLE Höhenverstellbarer Schreibtisch elektrisch, Tischgestell, Schreibtischständer, ohne Tischplatte, Memory-Funktion3 Höhen,59.6x(90-140)x(72-120)</x:v>
      </x:c>
      <x:c r="Q36" s="9"/>
      <x:c r="R36" s="9"/>
      <x:c r="S36" s="9" t="str">
        <x:v>否</x:v>
      </x:c>
      <x:c r="T36" s="9" t="str">
        <x:v>否</x:v>
      </x:c>
      <x:c r="U36" s="9" t="str">
        <x:v>01_Original_Competitor_Ads/SONGMICS/Google/SONG-GOOG-074.jpg</x:v>
      </x:c>
      <x:c r="V36" s="9" t="str">
        <x:v>91976a5eec100e02201fc506160fccf48b222498587376fccbf6067ab8323c47</x:v>
      </x:c>
    </x:row>
    <x:row r="37" ht="115" customHeight="1">
      <x:c r="A37" s="9" t="str">
        <x:v>ERGO-GOOG-002</x:v>
      </x:c>
      <x:c r="B37" s="9" t="str">
        <x:v>Ergotopia</x:v>
      </x:c>
      <x:c r="C37" s="9" t="str">
        <x:v>Google</x:v>
      </x:c>
      <x:c r="D37" s="9" t="str">
        <x:v>A</x:v>
      </x:c>
      <x:c r="E37" s="9" t="str">
        <x:v>升降桌核心或使用场景</x:v>
      </x:c>
      <x:c r="F37" s="9" t="str">
        <x:v>完整导出广告画面</x:v>
      </x:c>
      <x:c r="G37" s="9" t="n">
        <x:v>1444</x:v>
      </x:c>
      <x:c r="H37" s="9" t="n">
        <x:v>2594</x:v>
      </x:c>
      <x:c r="I37" s="9" t="str">
        <x:v>722:1297</x:v>
      </x:c>
      <x:c r="J37" s="9" t="str">
        <x:v>尺寸与配色选择</x:v>
      </x:c>
      <x:c r="K37" s="9" t="str">
        <x:v>商品组合展示</x:v>
      </x:c>
      <x:c r="L37" s="9" t="str">
        <x:v>Ergotopia/Google/ERGO-GOOG-002.png</x:v>
      </x:c>
      <x:c r="M37" s="9" t="str">
        <x:v>https://adstransparency.google.com/advertiser/AR17237286746354352129/creative/CR09998335886837678081?region=DE&amp;start-date=2026-09-16&amp;end-date=2026-10-15&amp;format=IMAGE</x:v>
      </x:c>
      <x:c r="N37" s="9" t="str">
        <x:v>ERGO-GAD-002;ERGO-GAD-010</x:v>
      </x:c>
      <x:c r="O37" s="9" t="str">
        <x:v>详情日期与德国地区已核验</x:v>
      </x:c>
      <x:c r="P37" s="9"/>
      <x:c r="Q37" s="9"/>
      <x:c r="R37" s="9"/>
      <x:c r="S37" s="9" t="str">
        <x:v>否</x:v>
      </x:c>
      <x:c r="T37" s="9" t="str">
        <x:v>否</x:v>
      </x:c>
      <x:c r="U37" s="9" t="str">
        <x:v>01_Original_Competitor_Ads/Ergotopia/Google/ERGO-GOOG-002.png</x:v>
      </x:c>
      <x:c r="V37" s="9" t="str">
        <x:v>af2ec3e55be684288b5a257fa00d25e1ad7298ba47296b78776eb6d340beb27a</x:v>
      </x:c>
    </x:row>
    <x:row r="38" ht="115" customHeight="1">
      <x:c r="A38" s="9" t="str">
        <x:v>ERGO-GOOG-007</x:v>
      </x:c>
      <x:c r="B38" s="9" t="str">
        <x:v>Ergotopia</x:v>
      </x:c>
      <x:c r="C38" s="9" t="str">
        <x:v>Google</x:v>
      </x:c>
      <x:c r="D38" s="9" t="str">
        <x:v>A</x:v>
      </x:c>
      <x:c r="E38" s="9" t="str">
        <x:v>升降桌核心或使用场景</x:v>
      </x:c>
      <x:c r="F38" s="9" t="str">
        <x:v>真实广告内的图像组件（非完整广告版式）</x:v>
      </x:c>
      <x:c r="G38" s="9" t="n">
        <x:v>650</x:v>
      </x:c>
      <x:c r="H38" s="9" t="n">
        <x:v>488</x:v>
      </x:c>
      <x:c r="I38" s="9" t="str">
        <x:v>325:244</x:v>
      </x:c>
      <x:c r="J38" s="9" t="str">
        <x:v>简约设计|购买信任</x:v>
      </x:c>
      <x:c r="K38" s="9" t="str">
        <x:v>Home Office</x:v>
      </x:c>
      <x:c r="L38" s="9" t="str">
        <x:v>Ergotopia/Google/ERGO-GOOG-007.jpg</x:v>
      </x:c>
      <x:c r="M38" s="9" t="str">
        <x:v>https://adstransparency.google.com/advertiser/AR17237286746354352129/creative/CR17455645263094874113?region=DE&amp;start-date=2026-09-16&amp;end-date=2026-10-15&amp;format=IMAGE</x:v>
      </x:c>
      <x:c r="N38" s="9" t="str">
        <x:v>ERGO-GAD-007</x:v>
      </x:c>
      <x:c r="O38" s="9" t="str">
        <x:v>详情日期与德国地区已核验</x:v>
      </x:c>
      <x:c r="P38" s="9" t="str">
        <x:v>Ergotopia Desktopia Pro X I Elektrisch höhenverstellbarer Schreibtisch I 140x80 cm I Nussbaum Dekor rund I Gestell Schwarz</x:v>
      </x:c>
      <x:c r="Q38" s="9"/>
      <x:c r="R38" s="9"/>
      <x:c r="S38" s="9" t="str">
        <x:v>否</x:v>
      </x:c>
      <x:c r="T38" s="9" t="str">
        <x:v>否</x:v>
      </x:c>
      <x:c r="U38" s="9" t="str">
        <x:v>01_Original_Competitor_Ads/Ergotopia/Google/ERGO-GOOG-007.jpg</x:v>
      </x:c>
      <x:c r="V38" s="9" t="str">
        <x:v>5f4d1c1fd155cab502c11d4413528d222a6bcccd7785e3f08a9ed3763892b8b3</x:v>
      </x:c>
    </x:row>
    <x:row r="39" ht="115" customHeight="1">
      <x:c r="A39" s="9" t="str">
        <x:v>ERGO-GOOG-017</x:v>
      </x:c>
      <x:c r="B39" s="9" t="str">
        <x:v>Ergotopia</x:v>
      </x:c>
      <x:c r="C39" s="9" t="str">
        <x:v>Google</x:v>
      </x:c>
      <x:c r="D39" s="9" t="str">
        <x:v>A</x:v>
      </x:c>
      <x:c r="E39" s="9" t="str">
        <x:v>升降桌核心或使用场景</x:v>
      </x:c>
      <x:c r="F39" s="9" t="str">
        <x:v>真实广告内的图像组件（非完整广告版式）</x:v>
      </x:c>
      <x:c r="G39" s="9" t="n">
        <x:v>650</x:v>
      </x:c>
      <x:c r="H39" s="9" t="n">
        <x:v>488</x:v>
      </x:c>
      <x:c r="I39" s="9" t="str">
        <x:v>325:244</x:v>
      </x:c>
      <x:c r="J39" s="9" t="str">
        <x:v>简约设计|购买信任</x:v>
      </x:c>
      <x:c r="K39" s="9" t="str">
        <x:v>Home Office</x:v>
      </x:c>
      <x:c r="L39" s="9" t="str">
        <x:v>Ergotopia/Google/ERGO-GOOG-017.jpg</x:v>
      </x:c>
      <x:c r="M39" s="9" t="str">
        <x:v>https://adstransparency.google.com/advertiser/AR17237286746354352129/creative/CR15625494964522188801?region=DE&amp;start-date=2026-09-16&amp;end-date=2026-10-15&amp;format=IMAGE</x:v>
      </x:c>
      <x:c r="N39" s="9" t="str">
        <x:v>ERGO-GAD-017</x:v>
      </x:c>
      <x:c r="O39" s="9" t="str">
        <x:v>详情日期与德国地区已核验</x:v>
      </x:c>
      <x:c r="P39" s="9" t="str">
        <x:v>Ergotopia Desktopia Pro X I Elektrisch höhenverstellbarer Schreibtisch I 160x80 cm I Schwarz Dekor eckig I Gestell Schwarz</x:v>
      </x:c>
      <x:c r="Q39" s="9"/>
      <x:c r="R39" s="9"/>
      <x:c r="S39" s="9" t="str">
        <x:v>否</x:v>
      </x:c>
      <x:c r="T39" s="9" t="str">
        <x:v>否</x:v>
      </x:c>
      <x:c r="U39" s="9" t="str">
        <x:v>01_Original_Competitor_Ads/Ergotopia/Google/ERGO-GOOG-017.jpg</x:v>
      </x:c>
      <x:c r="V39" s="9" t="str">
        <x:v>b0cd884f60384edd854788cca3412bce885d788fd8f373fc5bddff31eced18cf</x:v>
      </x:c>
    </x:row>
    <x:row r="40" ht="115" customHeight="1">
      <x:c r="A40" s="9" t="str">
        <x:v>ERGO-GOOG-026</x:v>
      </x:c>
      <x:c r="B40" s="9" t="str">
        <x:v>Ergotopia</x:v>
      </x:c>
      <x:c r="C40" s="9" t="str">
        <x:v>Google</x:v>
      </x:c>
      <x:c r="D40" s="9" t="str">
        <x:v>A</x:v>
      </x:c>
      <x:c r="E40" s="9" t="str">
        <x:v>升降桌核心或使用场景</x:v>
      </x:c>
      <x:c r="F40" s="9" t="str">
        <x:v>真实广告内的图像组件（非完整广告版式）</x:v>
      </x:c>
      <x:c r="G40" s="9" t="n">
        <x:v>650</x:v>
      </x:c>
      <x:c r="H40" s="9" t="n">
        <x:v>488</x:v>
      </x:c>
      <x:c r="I40" s="9" t="str">
        <x:v>325:244</x:v>
      </x:c>
      <x:c r="J40" s="9" t="str">
        <x:v>电动升降|产品细节</x:v>
      </x:c>
      <x:c r="K40" s="9" t="str">
        <x:v>纯产品展示</x:v>
      </x:c>
      <x:c r="L40" s="9" t="str">
        <x:v>Ergotopia/Google/ERGO-GOOG-026.jpg</x:v>
      </x:c>
      <x:c r="M40" s="9" t="str">
        <x:v>https://adstransparency.google.com/advertiser/AR17237286746354352129/creative/CR03744908721277370369?region=DE&amp;start-date=2026-09-16&amp;end-date=2026-10-15&amp;format=IMAGE</x:v>
      </x:c>
      <x:c r="N40" s="9" t="str">
        <x:v>ERGO-GAD-026;ERGO-GAD-069</x:v>
      </x:c>
      <x:c r="O40" s="9" t="str">
        <x:v>详情日期与德国地区已核验</x:v>
      </x:c>
      <x:c r="P40" s="9" t="str">
        <x:v>Ergotopia Desktopia One I</x:v>
      </x:c>
      <x:c r="Q40" s="9"/>
      <x:c r="R40" s="9"/>
      <x:c r="S40" s="9" t="str">
        <x:v>否</x:v>
      </x:c>
      <x:c r="T40" s="9" t="str">
        <x:v>否</x:v>
      </x:c>
      <x:c r="U40" s="9" t="str">
        <x:v>01_Original_Competitor_Ads/Ergotopia/Google/ERGO-GOOG-026.jpg</x:v>
      </x:c>
      <x:c r="V40" s="9" t="str">
        <x:v>714691013269083f75855d9a3ff43994462a6664f41e53adcdf1a93065486e9e</x:v>
      </x:c>
    </x:row>
    <x:row r="41" ht="115" customHeight="1">
      <x:c r="A41" s="9" t="str">
        <x:v>ERGO-GOOG-037</x:v>
      </x:c>
      <x:c r="B41" s="9" t="str">
        <x:v>Ergotopia</x:v>
      </x:c>
      <x:c r="C41" s="9" t="str">
        <x:v>Google</x:v>
      </x:c>
      <x:c r="D41" s="9" t="str">
        <x:v>A</x:v>
      </x:c>
      <x:c r="E41" s="9" t="str">
        <x:v>升降桌核心或使用场景</x:v>
      </x:c>
      <x:c r="F41" s="9" t="str">
        <x:v>真实广告内的图像组件（非完整广告版式）</x:v>
      </x:c>
      <x:c r="G41" s="9" t="n">
        <x:v>650</x:v>
      </x:c>
      <x:c r="H41" s="9" t="n">
        <x:v>488</x:v>
      </x:c>
      <x:c r="I41" s="9" t="str">
        <x:v>325:244</x:v>
      </x:c>
      <x:c r="J41" s="9" t="str">
        <x:v>简约设计</x:v>
      </x:c>
      <x:c r="K41" s="9" t="str">
        <x:v>纯产品展示</x:v>
      </x:c>
      <x:c r="L41" s="9" t="str">
        <x:v>Ergotopia/Google/ERGO-GOOG-037.jpg</x:v>
      </x:c>
      <x:c r="M41" s="9" t="str">
        <x:v>https://adstransparency.google.com/advertiser/AR17237286746354352129/creative/CR09979142811863220225?region=DE&amp;start-date=2026-09-16&amp;end-date=2026-10-15&amp;format=IMAGE</x:v>
      </x:c>
      <x:c r="N41" s="9" t="str">
        <x:v>ERGO-GAD-037</x:v>
      </x:c>
      <x:c r="O41" s="9" t="str">
        <x:v>德国日期筛选列表已核验；单条首次/最后日期未读取</x:v>
      </x:c>
      <x:c r="P41" s="9" t="str">
        <x:v>Ergotopia Desktopia One I Elektrisch höhenverstellbarer Schreibtisch I 160x80 cm I Schwarz Dekor eckig I Gestell Schwarz</x:v>
      </x:c>
      <x:c r="Q41" s="9"/>
      <x:c r="R41" s="9"/>
      <x:c r="S41" s="9" t="str">
        <x:v>否</x:v>
      </x:c>
      <x:c r="T41" s="9" t="str">
        <x:v>否</x:v>
      </x:c>
      <x:c r="U41" s="9" t="str">
        <x:v>01_Original_Competitor_Ads/Ergotopia/Google/ERGO-GOOG-037.jpg</x:v>
      </x:c>
      <x:c r="V41" s="9" t="str">
        <x:v>96b7333641411ffd97656607eac363011d6c880a00c5e1e5e0e6e2f4461295e2</x:v>
      </x:c>
    </x:row>
    <x:row r="42" ht="115" customHeight="1">
      <x:c r="A42" s="9" t="str">
        <x:v>ERGO-GOOG-040</x:v>
      </x:c>
      <x:c r="B42" s="9" t="str">
        <x:v>Ergotopia</x:v>
      </x:c>
      <x:c r="C42" s="9" t="str">
        <x:v>Google</x:v>
      </x:c>
      <x:c r="D42" s="9" t="str">
        <x:v>A</x:v>
      </x:c>
      <x:c r="E42" s="9" t="str">
        <x:v>升降桌核心或使用场景</x:v>
      </x:c>
      <x:c r="F42" s="9" t="str">
        <x:v>真实广告内的图像组件（非完整广告版式）</x:v>
      </x:c>
      <x:c r="G42" s="9" t="n">
        <x:v>650</x:v>
      </x:c>
      <x:c r="H42" s="9" t="n">
        <x:v>488</x:v>
      </x:c>
      <x:c r="I42" s="9" t="str">
        <x:v>325:244</x:v>
      </x:c>
      <x:c r="J42" s="9" t="str">
        <x:v>简约设计|购买信任</x:v>
      </x:c>
      <x:c r="K42" s="9" t="str">
        <x:v>Home Office</x:v>
      </x:c>
      <x:c r="L42" s="9" t="str">
        <x:v>Ergotopia/Google/ERGO-GOOG-040.jpg</x:v>
      </x:c>
      <x:c r="M42" s="9" t="str">
        <x:v>https://adstransparency.google.com/advertiser/AR17237286746354352129/creative/CR01121161767641153537?region=DE&amp;start-date=2026-09-16&amp;end-date=2026-10-15&amp;format=IMAGE</x:v>
      </x:c>
      <x:c r="N42" s="9" t="str">
        <x:v>ERGO-GAD-040</x:v>
      </x:c>
      <x:c r="O42" s="9" t="str">
        <x:v>德国日期筛选列表已核验；单条首次/最后日期未读取</x:v>
      </x:c>
      <x:c r="P42" s="9" t="str">
        <x:v>Ergotopia Desktopia Pro X I Elektrisch höhenverstellbarer Schreibtisch I 160x80 cm I Weiß Dekor eckig I Gestell Grau</x:v>
      </x:c>
      <x:c r="Q42" s="9"/>
      <x:c r="R42" s="9"/>
      <x:c r="S42" s="9" t="str">
        <x:v>否</x:v>
      </x:c>
      <x:c r="T42" s="9" t="str">
        <x:v>否</x:v>
      </x:c>
      <x:c r="U42" s="9" t="str">
        <x:v>01_Original_Competitor_Ads/Ergotopia/Google/ERGO-GOOG-040.jpg</x:v>
      </x:c>
      <x:c r="V42" s="9" t="str">
        <x:v>5a5731baee3a9fee18fe0c21a6a62aa4dd1bb108667334d7ad6b0a6ad6a86f05</x:v>
      </x:c>
    </x:row>
    <x:row r="43" ht="115" customHeight="1">
      <x:c r="A43" s="9" t="str">
        <x:v>ERGO-GOOG-043</x:v>
      </x:c>
      <x:c r="B43" s="9" t="str">
        <x:v>Ergotopia</x:v>
      </x:c>
      <x:c r="C43" s="9" t="str">
        <x:v>Google</x:v>
      </x:c>
      <x:c r="D43" s="9" t="str">
        <x:v>A</x:v>
      </x:c>
      <x:c r="E43" s="9" t="str">
        <x:v>升降桌核心或使用场景</x:v>
      </x:c>
      <x:c r="F43" s="9" t="str">
        <x:v>完整导出广告画面</x:v>
      </x:c>
      <x:c r="G43" s="9" t="n">
        <x:v>1200</x:v>
      </x:c>
      <x:c r="H43" s="9" t="n">
        <x:v>628</x:v>
      </x:c>
      <x:c r="I43" s="9" t="str">
        <x:v>300:157</x:v>
      </x:c>
      <x:c r="J43" s="9" t="str">
        <x:v>电动升降|坐站切换|购买信任</x:v>
      </x:c>
      <x:c r="K43" s="9" t="str">
        <x:v>Home Office</x:v>
      </x:c>
      <x:c r="L43" s="9" t="str">
        <x:v>Ergotopia/Google/ERGO-GOOG-043.jpg</x:v>
      </x:c>
      <x:c r="M43" s="9" t="str">
        <x:v>https://adstransparency.google.com/advertiser/AR17237286746354352129/creative/CR05597477950271258625?region=DE&amp;start-date=2026-09-16&amp;end-date=2026-10-15&amp;format=IMAGE</x:v>
      </x:c>
      <x:c r="N43" s="9" t="str">
        <x:v>ERGO-GAD-043</x:v>
      </x:c>
      <x:c r="O43" s="9" t="str">
        <x:v>详情日期与德国地区已核验</x:v>
      </x:c>
      <x:c r="P43" s="9" t="str">
        <x:v>Desktopia Pro X - Jetzt elektrisch</x:v>
      </x:c>
      <x:c r="Q43" s="9"/>
      <x:c r="R43" s="9"/>
      <x:c r="S43" s="9" t="str">
        <x:v>否</x:v>
      </x:c>
      <x:c r="T43" s="9" t="str">
        <x:v>否</x:v>
      </x:c>
      <x:c r="U43" s="9" t="str">
        <x:v>01_Original_Competitor_Ads/Ergotopia/Google/ERGO-GOOG-043.jpg</x:v>
      </x:c>
      <x:c r="V43" s="9" t="str">
        <x:v>755947d190cf9203a390ed326ed8bc11f049f5ba991efe5ea3b8aefea736953f</x:v>
      </x:c>
    </x:row>
    <x:row r="44" ht="115" customHeight="1">
      <x:c r="A44" s="9" t="str">
        <x:v>ERGO-GOOG-046</x:v>
      </x:c>
      <x:c r="B44" s="9" t="str">
        <x:v>Ergotopia</x:v>
      </x:c>
      <x:c r="C44" s="9" t="str">
        <x:v>Google</x:v>
      </x:c>
      <x:c r="D44" s="9" t="str">
        <x:v>A</x:v>
      </x:c>
      <x:c r="E44" s="9" t="str">
        <x:v>升降桌核心或使用场景</x:v>
      </x:c>
      <x:c r="F44" s="9" t="str">
        <x:v>真实广告内的图像组件（非完整广告版式）</x:v>
      </x:c>
      <x:c r="G44" s="9" t="n">
        <x:v>650</x:v>
      </x:c>
      <x:c r="H44" s="9" t="n">
        <x:v>488</x:v>
      </x:c>
      <x:c r="I44" s="9" t="str">
        <x:v>325:244</x:v>
      </x:c>
      <x:c r="J44" s="9" t="str">
        <x:v>大尺寸桌面|购买信任</x:v>
      </x:c>
      <x:c r="K44" s="9" t="str">
        <x:v>Home Office</x:v>
      </x:c>
      <x:c r="L44" s="9" t="str">
        <x:v>Ergotopia/Google/ERGO-GOOG-046.jpg</x:v>
      </x:c>
      <x:c r="M44" s="9" t="str">
        <x:v>https://adstransparency.google.com/advertiser/AR17237286746354352129/creative/CR10548422842704199681?region=DE&amp;start-date=2026-09-16&amp;end-date=2026-10-15&amp;format=IMAGE</x:v>
      </x:c>
      <x:c r="N44" s="9" t="str">
        <x:v>ERGO-GAD-046</x:v>
      </x:c>
      <x:c r="O44" s="9" t="str">
        <x:v>德国日期筛选列表已核验；单条首次/最后日期未读取</x:v>
      </x:c>
      <x:c r="P44" s="9" t="str">
        <x:v>Ergotopia Desktopia Pro X I Elektrisch höhenverstellbarer Schreibtisch I 180x80 cm I Eiche Echtholz massiv eckig I Gestell Schwarz</x:v>
      </x:c>
      <x:c r="Q44" s="9"/>
      <x:c r="R44" s="9"/>
      <x:c r="S44" s="9" t="str">
        <x:v>否</x:v>
      </x:c>
      <x:c r="T44" s="9" t="str">
        <x:v>否</x:v>
      </x:c>
      <x:c r="U44" s="9" t="str">
        <x:v>01_Original_Competitor_Ads/Ergotopia/Google/ERGO-GOOG-046.jpg</x:v>
      </x:c>
      <x:c r="V44" s="9" t="str">
        <x:v>dcd24b53239a916b2ec919bc360a54ea25494666140c4926f6f6c87b147b2ba6</x:v>
      </x:c>
    </x:row>
    <x:row r="45" ht="115" customHeight="1">
      <x:c r="A45" s="9" t="str">
        <x:v>ERGO-GOOG-047</x:v>
      </x:c>
      <x:c r="B45" s="9" t="str">
        <x:v>Ergotopia</x:v>
      </x:c>
      <x:c r="C45" s="9" t="str">
        <x:v>Google</x:v>
      </x:c>
      <x:c r="D45" s="9" t="str">
        <x:v>A</x:v>
      </x:c>
      <x:c r="E45" s="9" t="str">
        <x:v>升降桌核心或使用场景</x:v>
      </x:c>
      <x:c r="F45" s="9" t="str">
        <x:v>真实广告内的图像组件（非完整广告版式）</x:v>
      </x:c>
      <x:c r="G45" s="9" t="n">
        <x:v>650</x:v>
      </x:c>
      <x:c r="H45" s="9" t="n">
        <x:v>488</x:v>
      </x:c>
      <x:c r="I45" s="9" t="str">
        <x:v>325:244</x:v>
      </x:c>
      <x:c r="J45" s="9" t="str">
        <x:v>简约设计|购买信任</x:v>
      </x:c>
      <x:c r="K45" s="9" t="str">
        <x:v>Home Office</x:v>
      </x:c>
      <x:c r="L45" s="9" t="str">
        <x:v>Ergotopia/Google/ERGO-GOOG-047.jpg</x:v>
      </x:c>
      <x:c r="M45" s="9" t="str">
        <x:v>https://adstransparency.google.com/advertiser/AR17237286746354352129/creative/CR06989703925825798145?region=DE&amp;start-date=2026-09-16&amp;end-date=2026-10-15&amp;format=IMAGE</x:v>
      </x:c>
      <x:c r="N45" s="9" t="str">
        <x:v>ERGO-GAD-047</x:v>
      </x:c>
      <x:c r="O45" s="9" t="str">
        <x:v>德国日期筛选列表已核验；单条首次/最后日期未读取</x:v>
      </x:c>
      <x:c r="P45" s="9" t="str">
        <x:v>Ergotopia Desktopia Pro X I</x:v>
      </x:c>
      <x:c r="Q45" s="9"/>
      <x:c r="R45" s="9"/>
      <x:c r="S45" s="9" t="str">
        <x:v>否</x:v>
      </x:c>
      <x:c r="T45" s="9" t="str">
        <x:v>否</x:v>
      </x:c>
      <x:c r="U45" s="9" t="str">
        <x:v>01_Original_Competitor_Ads/Ergotopia/Google/ERGO-GOOG-047.jpg</x:v>
      </x:c>
      <x:c r="V45" s="9" t="str">
        <x:v>78ffcc14f17278b31c0700b16863a52922bf47448a9e74321e775b7dbd1ac3a0</x:v>
      </x:c>
    </x:row>
    <x:row r="46" ht="115" customHeight="1">
      <x:c r="A46" s="9" t="str">
        <x:v>ERGO-GOOG-050</x:v>
      </x:c>
      <x:c r="B46" s="9" t="str">
        <x:v>Ergotopia</x:v>
      </x:c>
      <x:c r="C46" s="9" t="str">
        <x:v>Google</x:v>
      </x:c>
      <x:c r="D46" s="9" t="str">
        <x:v>A</x:v>
      </x:c>
      <x:c r="E46" s="9" t="str">
        <x:v>升降桌核心或使用场景</x:v>
      </x:c>
      <x:c r="F46" s="9" t="str">
        <x:v>真实广告内的图像组件（非完整广告版式）</x:v>
      </x:c>
      <x:c r="G46" s="9" t="n">
        <x:v>650</x:v>
      </x:c>
      <x:c r="H46" s="9" t="n">
        <x:v>488</x:v>
      </x:c>
      <x:c r="I46" s="9" t="str">
        <x:v>325:244</x:v>
      </x:c>
      <x:c r="J46" s="9" t="str">
        <x:v>简约设计|配色选择</x:v>
      </x:c>
      <x:c r="K46" s="9" t="str">
        <x:v>纯产品展示</x:v>
      </x:c>
      <x:c r="L46" s="9" t="str">
        <x:v>Ergotopia/Google/ERGO-GOOG-050.jpg</x:v>
      </x:c>
      <x:c r="M46" s="9" t="str">
        <x:v>https://adstransparency.google.com/advertiser/AR17237286746354352129/creative/CR16336338448879190017?region=DE&amp;start-date=2026-09-16&amp;end-date=2026-10-15&amp;format=IMAGE</x:v>
      </x:c>
      <x:c r="N46" s="9" t="str">
        <x:v>ERGO-GAD-050</x:v>
      </x:c>
      <x:c r="O46" s="9" t="str">
        <x:v>详情日期与德国地区已核验</x:v>
      </x:c>
      <x:c r="P46" s="9" t="str">
        <x:v>Ergotopia Desktopia One I Elektrisch höhenverstellbarer Schreibtisch I 120x65 cm I Weiß Dekor rund I Gestell Apricot</x:v>
      </x:c>
      <x:c r="Q46" s="9"/>
      <x:c r="R46" s="9"/>
      <x:c r="S46" s="9" t="str">
        <x:v>否</x:v>
      </x:c>
      <x:c r="T46" s="9" t="str">
        <x:v>否</x:v>
      </x:c>
      <x:c r="U46" s="9" t="str">
        <x:v>01_Original_Competitor_Ads/Ergotopia/Google/ERGO-GOOG-050.jpg</x:v>
      </x:c>
      <x:c r="V46" s="9" t="str">
        <x:v>cb2085fd31892a2426ee3fb301d97c89249cdeed9f6cbb9bf36fb27eac309dcf</x:v>
      </x:c>
    </x:row>
    <x:row r="47" ht="115" customHeight="1">
      <x:c r="A47" s="9" t="str">
        <x:v>ERGO-GOOG-052</x:v>
      </x:c>
      <x:c r="B47" s="9" t="str">
        <x:v>Ergotopia</x:v>
      </x:c>
      <x:c r="C47" s="9" t="str">
        <x:v>Google</x:v>
      </x:c>
      <x:c r="D47" s="9" t="str">
        <x:v>A</x:v>
      </x:c>
      <x:c r="E47" s="9" t="str">
        <x:v>升降桌核心或使用场景</x:v>
      </x:c>
      <x:c r="F47" s="9" t="str">
        <x:v>完整导出广告画面</x:v>
      </x:c>
      <x:c r="G47" s="9" t="n">
        <x:v>1444</x:v>
      </x:c>
      <x:c r="H47" s="9" t="n">
        <x:v>2594</x:v>
      </x:c>
      <x:c r="I47" s="9" t="str">
        <x:v>722:1297</x:v>
      </x:c>
      <x:c r="J47" s="9" t="str">
        <x:v>尺寸与配色选择|真实使用</x:v>
      </x:c>
      <x:c r="K47" s="9" t="str">
        <x:v>商品组合展示</x:v>
      </x:c>
      <x:c r="L47" s="9" t="str">
        <x:v>Ergotopia/Google/ERGO-GOOG-052.png</x:v>
      </x:c>
      <x:c r="M47" s="9" t="str">
        <x:v>https://adstransparency.google.com/advertiser/AR17237286746354352129/creative/CR16615729249759789057?region=DE&amp;start-date=2026-09-16&amp;end-date=2026-10-15&amp;format=IMAGE</x:v>
      </x:c>
      <x:c r="N47" s="9" t="str">
        <x:v>ERGO-GAD-052</x:v>
      </x:c>
      <x:c r="O47" s="9" t="str">
        <x:v>详情日期与德国地区已核验</x:v>
      </x:c>
      <x:c r="P47" s="9"/>
      <x:c r="Q47" s="9"/>
      <x:c r="R47" s="9"/>
      <x:c r="S47" s="9" t="str">
        <x:v>否</x:v>
      </x:c>
      <x:c r="T47" s="9" t="str">
        <x:v>否</x:v>
      </x:c>
      <x:c r="U47" s="9" t="str">
        <x:v>01_Original_Competitor_Ads/Ergotopia/Google/ERGO-GOOG-052.png</x:v>
      </x:c>
      <x:c r="V47" s="9" t="str">
        <x:v>adb176d34b37825ab77bae5e7c27cc46cd39d95cda01d507e206fbcdc2c6925f</x:v>
      </x:c>
    </x:row>
    <x:row r="48" ht="115" customHeight="1">
      <x:c r="A48" s="9" t="str">
        <x:v>ERGO-GOOG-066</x:v>
      </x:c>
      <x:c r="B48" s="9" t="str">
        <x:v>Ergotopia</x:v>
      </x:c>
      <x:c r="C48" s="9" t="str">
        <x:v>Google</x:v>
      </x:c>
      <x:c r="D48" s="9" t="str">
        <x:v>A</x:v>
      </x:c>
      <x:c r="E48" s="9" t="str">
        <x:v>升降桌核心或使用场景</x:v>
      </x:c>
      <x:c r="F48" s="9" t="str">
        <x:v>完整导出广告画面</x:v>
      </x:c>
      <x:c r="G48" s="9" t="n">
        <x:v>600</x:v>
      </x:c>
      <x:c r="H48" s="9" t="n">
        <x:v>1200</x:v>
      </x:c>
      <x:c r="I48" s="9" t="str">
        <x:v>1:2</x:v>
      </x:c>
      <x:c r="J48" s="9" t="str">
        <x:v>电动升降|产品细节</x:v>
      </x:c>
      <x:c r="K48" s="9" t="str">
        <x:v>产品细节</x:v>
      </x:c>
      <x:c r="L48" s="9" t="str">
        <x:v>Ergotopia/Google/ERGO-GOOG-066.png</x:v>
      </x:c>
      <x:c r="M48" s="9" t="str">
        <x:v>https://adstransparency.google.com/advertiser/AR17237286746354352129/creative/CR12989320248137089025?region=DE&amp;start-date=2026-09-16&amp;end-date=2026-10-15&amp;format=IMAGE</x:v>
      </x:c>
      <x:c r="N48" s="9" t="str">
        <x:v>ERGO-GAD-066</x:v>
      </x:c>
      <x:c r="O48" s="9" t="str">
        <x:v>详情日期与德国地区已核验</x:v>
      </x:c>
      <x:c r="P48" s="9"/>
      <x:c r="Q48" s="9"/>
      <x:c r="R48" s="9"/>
      <x:c r="S48" s="9" t="str">
        <x:v>否</x:v>
      </x:c>
      <x:c r="T48" s="9" t="str">
        <x:v>否</x:v>
      </x:c>
      <x:c r="U48" s="9" t="str">
        <x:v>01_Original_Competitor_Ads/Ergotopia/Google/ERGO-GOOG-066.png</x:v>
      </x:c>
      <x:c r="V48" s="9" t="str">
        <x:v>5f76edaefeb2073f18b5ce31427f651e1c32bef56ade3a3a16b53247170ba431</x:v>
      </x:c>
    </x:row>
    <x:row r="49" ht="115" customHeight="1">
      <x:c r="A49" s="9" t="str">
        <x:v>ERGO-GOOG-070</x:v>
      </x:c>
      <x:c r="B49" s="9" t="str">
        <x:v>Ergotopia</x:v>
      </x:c>
      <x:c r="C49" s="9" t="str">
        <x:v>Google</x:v>
      </x:c>
      <x:c r="D49" s="9" t="str">
        <x:v>A</x:v>
      </x:c>
      <x:c r="E49" s="9" t="str">
        <x:v>升降桌核心或使用场景</x:v>
      </x:c>
      <x:c r="F49" s="9" t="str">
        <x:v>真实广告内的图像组件（非完整广告版式）</x:v>
      </x:c>
      <x:c r="G49" s="9" t="n">
        <x:v>650</x:v>
      </x:c>
      <x:c r="H49" s="9" t="n">
        <x:v>488</x:v>
      </x:c>
      <x:c r="I49" s="9" t="str">
        <x:v>325:244</x:v>
      </x:c>
      <x:c r="J49" s="9" t="str">
        <x:v>简约设计|购买信任</x:v>
      </x:c>
      <x:c r="K49" s="9" t="str">
        <x:v>Home Office</x:v>
      </x:c>
      <x:c r="L49" s="9" t="str">
        <x:v>Ergotopia/Google/ERGO-GOOG-070.jpg</x:v>
      </x:c>
      <x:c r="M49" s="9" t="str">
        <x:v>https://adstransparency.google.com/advertiser/AR17237286746354352129/creative/CR13376102746294321153?region=DE&amp;start-date=2026-09-16&amp;end-date=2026-10-15&amp;format=IMAGE</x:v>
      </x:c>
      <x:c r="N49" s="9" t="str">
        <x:v>ERGO-GAD-070</x:v>
      </x:c>
      <x:c r="O49" s="9" t="str">
        <x:v>德国日期筛选列表已核验；单条首次/最后日期未读取</x:v>
      </x:c>
      <x:c r="P49" s="9" t="str">
        <x:v>Ergotopia Desktopia Pro X I Elektrisch höhenverstellbarer Schreibtisch I 160x80 cm I Buche Dekor eckig I Gestell Schwarz</x:v>
      </x:c>
      <x:c r="Q49" s="9"/>
      <x:c r="R49" s="9"/>
      <x:c r="S49" s="9" t="str">
        <x:v>否</x:v>
      </x:c>
      <x:c r="T49" s="9" t="str">
        <x:v>否</x:v>
      </x:c>
      <x:c r="U49" s="9" t="str">
        <x:v>01_Original_Competitor_Ads/Ergotopia/Google/ERGO-GOOG-070.jpg</x:v>
      </x:c>
      <x:c r="V49" s="9" t="str">
        <x:v>aae0eb3a62b46ca1de8cde1250204d98e6c12b333c2b64aa41901d08c3a770a9</x:v>
      </x:c>
    </x:row>
    <x:row r="50" ht="115" customHeight="1">
      <x:c r="A50" s="9" t="str">
        <x:v>ERGO-GOOG-076</x:v>
      </x:c>
      <x:c r="B50" s="9" t="str">
        <x:v>Ergotopia</x:v>
      </x:c>
      <x:c r="C50" s="9" t="str">
        <x:v>Google</x:v>
      </x:c>
      <x:c r="D50" s="9" t="str">
        <x:v>A</x:v>
      </x:c>
      <x:c r="E50" s="9" t="str">
        <x:v>升降桌核心或使用场景</x:v>
      </x:c>
      <x:c r="F50" s="9" t="str">
        <x:v>真实广告内的图像组件（非完整广告版式）</x:v>
      </x:c>
      <x:c r="G50" s="9" t="n">
        <x:v>650</x:v>
      </x:c>
      <x:c r="H50" s="9" t="n">
        <x:v>488</x:v>
      </x:c>
      <x:c r="I50" s="9" t="str">
        <x:v>325:244</x:v>
      </x:c>
      <x:c r="J50" s="9" t="str">
        <x:v>简约设计|购买信任</x:v>
      </x:c>
      <x:c r="K50" s="9" t="str">
        <x:v>Home Office</x:v>
      </x:c>
      <x:c r="L50" s="9" t="str">
        <x:v>Ergotopia/Google/ERGO-GOOG-076.jpg</x:v>
      </x:c>
      <x:c r="M50" s="9" t="str">
        <x:v>https://adstransparency.google.com/advertiser/AR17237286746354352129/creative/CR18240386597537185793?region=DE&amp;start-date=2026-09-16&amp;end-date=2026-10-15&amp;format=IMAGE</x:v>
      </x:c>
      <x:c r="N50" s="9" t="str">
        <x:v>ERGO-GAD-076</x:v>
      </x:c>
      <x:c r="O50" s="9" t="str">
        <x:v>详情日期与德国地区已核验</x:v>
      </x:c>
      <x:c r="P50" s="9" t="str">
        <x:v>Ergotopia Desktopia Pro X I</x:v>
      </x:c>
      <x:c r="Q50" s="9"/>
      <x:c r="R50" s="9"/>
      <x:c r="S50" s="9" t="str">
        <x:v>否</x:v>
      </x:c>
      <x:c r="T50" s="9" t="str">
        <x:v>否</x:v>
      </x:c>
      <x:c r="U50" s="9" t="str">
        <x:v>01_Original_Competitor_Ads/Ergotopia/Google/ERGO-GOOG-076.jpg</x:v>
      </x:c>
      <x:c r="V50" s="9" t="str">
        <x:v>6196faae735fdc1a2c70cb28bbe578a5962790d8adcecd586927f9d09e461282</x:v>
      </x:c>
    </x:row>
    <x:row r="51" ht="115" customHeight="1">
      <x:c r="A51" s="9" t="str">
        <x:v>ERGO-GOOG-078</x:v>
      </x:c>
      <x:c r="B51" s="9" t="str">
        <x:v>Ergotopia</x:v>
      </x:c>
      <x:c r="C51" s="9" t="str">
        <x:v>Google</x:v>
      </x:c>
      <x:c r="D51" s="9" t="str">
        <x:v>A</x:v>
      </x:c>
      <x:c r="E51" s="9" t="str">
        <x:v>升降桌核心或使用场景</x:v>
      </x:c>
      <x:c r="F51" s="9" t="str">
        <x:v>真实广告内的图像组件（非完整广告版式）</x:v>
      </x:c>
      <x:c r="G51" s="9" t="n">
        <x:v>650</x:v>
      </x:c>
      <x:c r="H51" s="9" t="n">
        <x:v>488</x:v>
      </x:c>
      <x:c r="I51" s="9" t="str">
        <x:v>325:244</x:v>
      </x:c>
      <x:c r="J51" s="9" t="str">
        <x:v>桌面空间|空间适配</x:v>
      </x:c>
      <x:c r="K51" s="9" t="str">
        <x:v>纯产品展示</x:v>
      </x:c>
      <x:c r="L51" s="9" t="str">
        <x:v>Ergotopia/Google/ERGO-GOOG-078.jpg</x:v>
      </x:c>
      <x:c r="M51" s="9" t="str">
        <x:v>https://adstransparency.google.com/advertiser/AR17237286746354352129/creative/CR18024136755120177153?region=DE&amp;start-date=2026-09-16&amp;end-date=2026-10-15&amp;format=IMAGE</x:v>
      </x:c>
      <x:c r="N51" s="9" t="str">
        <x:v>ERGO-GAD-078</x:v>
      </x:c>
      <x:c r="O51" s="9" t="str">
        <x:v>德国日期筛选列表已核验；单条首次/最后日期未读取</x:v>
      </x:c>
      <x:c r="P51" s="9" t="str">
        <x:v>Ergotopia Desktopia Edge I</x:v>
      </x:c>
      <x:c r="Q51" s="9"/>
      <x:c r="R51" s="9"/>
      <x:c r="S51" s="9" t="str">
        <x:v>否</x:v>
      </x:c>
      <x:c r="T51" s="9" t="str">
        <x:v>否</x:v>
      </x:c>
      <x:c r="U51" s="9" t="str">
        <x:v>01_Original_Competitor_Ads/Ergotopia/Google/ERGO-GOOG-078.jpg</x:v>
      </x:c>
      <x:c r="V51" s="9" t="str">
        <x:v>76c24a73a49a048adcce2fa6d252223c33f10401cfa022aceea3b0cac6a52881</x:v>
      </x:c>
    </x:row>
    <x:row r="52" ht="115" customHeight="1">
      <x:c r="A52" s="9" t="str">
        <x:v>YAAS-GOOG-006</x:v>
      </x:c>
      <x:c r="B52" s="9" t="str">
        <x:v>Yaasa</x:v>
      </x:c>
      <x:c r="C52" s="9" t="str">
        <x:v>Google</x:v>
      </x:c>
      <x:c r="D52" s="9" t="str">
        <x:v>A</x:v>
      </x:c>
      <x:c r="E52" s="9" t="str">
        <x:v>升降桌核心或使用场景</x:v>
      </x:c>
      <x:c r="F52" s="9" t="str">
        <x:v>真实广告内的图像组件（非完整广告版式）</x:v>
      </x:c>
      <x:c r="G52" s="9" t="n">
        <x:v>1200</x:v>
      </x:c>
      <x:c r="H52" s="9" t="n">
        <x:v>1200</x:v>
      </x:c>
      <x:c r="I52" s="9" t="str">
        <x:v>1:1</x:v>
      </x:c>
      <x:c r="J52" s="9" t="str">
        <x:v>简约设计|产品细节</x:v>
      </x:c>
      <x:c r="K52" s="9" t="str">
        <x:v>纯产品展示</x:v>
      </x:c>
      <x:c r="L52" s="9" t="str">
        <x:v>Yaasa/Google/YAAS-GOOG-006.jpg</x:v>
      </x:c>
      <x:c r="M52" s="9" t="str">
        <x:v>https://adstransparency.google.com/advertiser/AR11132507814793052161/creative/CR03545639779389407233?region=DE&amp;start-date=2026-09-16&amp;end-date=2026-10-15&amp;format=IMAGE</x:v>
      </x:c>
      <x:c r="N52" s="9" t="str">
        <x:v>YAAS-GAD-006</x:v>
      </x:c>
      <x:c r="O52" s="9" t="str">
        <x:v>德国日期筛选列表已核验；单条首次/最后日期未读取</x:v>
      </x:c>
      <x:c r="P52" s="9" t="str">
        <x:v>Yaasa Desk Essential, 120x80 cm, Eiche dunkel/Schwarz - Schreibtisch elektrisch höhenverstellbar</x:v>
      </x:c>
      <x:c r="Q52" s="9"/>
      <x:c r="R52" s="9"/>
      <x:c r="S52" s="9" t="str">
        <x:v>否</x:v>
      </x:c>
      <x:c r="T52" s="9" t="str">
        <x:v>否</x:v>
      </x:c>
      <x:c r="U52" s="9" t="str">
        <x:v>01_Original_Competitor_Ads/Yaasa/Google/YAAS-GOOG-006.jpg</x:v>
      </x:c>
      <x:c r="V52" s="9" t="str">
        <x:v>94a330d97ff90fb567d395773a9550177ee4249e945b90f418cb9b0cf6a637f1</x:v>
      </x:c>
    </x:row>
    <x:row r="53" ht="115" customHeight="1">
      <x:c r="A53" s="9" t="str">
        <x:v>YAAS-GOOG-009</x:v>
      </x:c>
      <x:c r="B53" s="9" t="str">
        <x:v>Yaasa</x:v>
      </x:c>
      <x:c r="C53" s="9" t="str">
        <x:v>Google</x:v>
      </x:c>
      <x:c r="D53" s="9" t="str">
        <x:v>A</x:v>
      </x:c>
      <x:c r="E53" s="9" t="str">
        <x:v>升降桌核心或使用场景</x:v>
      </x:c>
      <x:c r="F53" s="9" t="str">
        <x:v>真实广告内的图像组件（非完整广告版式）</x:v>
      </x:c>
      <x:c r="G53" s="9" t="n">
        <x:v>1920</x:v>
      </x:c>
      <x:c r="H53" s="9" t="n">
        <x:v>1920</x:v>
      </x:c>
      <x:c r="I53" s="9" t="str">
        <x:v>1:1</x:v>
      </x:c>
      <x:c r="J53" s="9" t="str">
        <x:v>简约设计|购买信任</x:v>
      </x:c>
      <x:c r="K53" s="9" t="str">
        <x:v>纯产品展示</x:v>
      </x:c>
      <x:c r="L53" s="9" t="str">
        <x:v>Yaasa/Google/YAAS-GOOG-009.jpg</x:v>
      </x:c>
      <x:c r="M53" s="9" t="str">
        <x:v>https://adstransparency.google.com/advertiser/AR11132507814793052161/creative/CR17401753594012631041?region=DE&amp;start-date=2026-09-16&amp;end-date=2026-10-15&amp;format=IMAGE</x:v>
      </x:c>
      <x:c r="N53" s="9" t="str">
        <x:v>YAAS-GAD-009</x:v>
      </x:c>
      <x:c r="O53" s="9" t="str">
        <x:v>德国日期筛选列表已核验；单条首次/最后日期未读取</x:v>
      </x:c>
      <x:c r="P53" s="9" t="str">
        <x:v>Yaasa Desk Essential, 140x80 cm, Weiß - Elektrisch höhenverstellbarer Schreibtisch</x:v>
      </x:c>
      <x:c r="Q53" s="9"/>
      <x:c r="R53" s="9"/>
      <x:c r="S53" s="9" t="str">
        <x:v>否</x:v>
      </x:c>
      <x:c r="T53" s="9" t="str">
        <x:v>否</x:v>
      </x:c>
      <x:c r="U53" s="9" t="str">
        <x:v>01_Original_Competitor_Ads/Yaasa/Google/YAAS-GOOG-009.jpg</x:v>
      </x:c>
      <x:c r="V53" s="9" t="str">
        <x:v>dfa5a99be5d124a6d50df0bb11c96563b545cbce6e4269155044526b54840e13</x:v>
      </x:c>
    </x:row>
    <x:row r="54" ht="115" customHeight="1">
      <x:c r="A54" s="9" t="str">
        <x:v>YAAS-GOOG-010</x:v>
      </x:c>
      <x:c r="B54" s="9" t="str">
        <x:v>Yaasa</x:v>
      </x:c>
      <x:c r="C54" s="9" t="str">
        <x:v>Google</x:v>
      </x:c>
      <x:c r="D54" s="9" t="str">
        <x:v>A</x:v>
      </x:c>
      <x:c r="E54" s="9" t="str">
        <x:v>升降桌核心或使用场景</x:v>
      </x:c>
      <x:c r="F54" s="9" t="str">
        <x:v>真实广告内的图像组件（非完整广告版式）</x:v>
      </x:c>
      <x:c r="G54" s="9" t="n">
        <x:v>1200</x:v>
      </x:c>
      <x:c r="H54" s="9" t="n">
        <x:v>1200</x:v>
      </x:c>
      <x:c r="I54" s="9" t="str">
        <x:v>1:1</x:v>
      </x:c>
      <x:c r="J54" s="9" t="str">
        <x:v>大尺寸桌面|简约设计</x:v>
      </x:c>
      <x:c r="K54" s="9" t="str">
        <x:v>纯产品展示</x:v>
      </x:c>
      <x:c r="L54" s="9" t="str">
        <x:v>Yaasa/Google/YAAS-GOOG-010.jpg</x:v>
      </x:c>
      <x:c r="M54" s="9" t="str">
        <x:v>https://adstransparency.google.com/advertiser/AR11132507814793052161/creative/CR17581295690980524033?region=DE&amp;start-date=2026-09-16&amp;end-date=2026-10-15&amp;format=IMAGE</x:v>
      </x:c>
      <x:c r="N54" s="9" t="str">
        <x:v>YAAS-GAD-010</x:v>
      </x:c>
      <x:c r="O54" s="9" t="str">
        <x:v>德国日期筛选列表已核验；单条首次/最后日期未读取</x:v>
      </x:c>
      <x:c r="P54" s="9" t="str">
        <x:v>Yaasa Desk Pro, 160x80 cm, Multiplex Weiß - Höhenverstellbarer Sitz-Steh-Tisch fürs Büro</x:v>
      </x:c>
      <x:c r="Q54" s="9"/>
      <x:c r="R54" s="9"/>
      <x:c r="S54" s="9" t="str">
        <x:v>否</x:v>
      </x:c>
      <x:c r="T54" s="9" t="str">
        <x:v>否</x:v>
      </x:c>
      <x:c r="U54" s="9" t="str">
        <x:v>01_Original_Competitor_Ads/Yaasa/Google/YAAS-GOOG-010.jpg</x:v>
      </x:c>
      <x:c r="V54" s="9" t="str">
        <x:v>a8bba1c8e96dec0f8e0eb25d1419283e6970ee01508795431d9b183055edb70b</x:v>
      </x:c>
    </x:row>
    <x:row r="55" ht="115" customHeight="1">
      <x:c r="A55" s="9" t="str">
        <x:v>YAAS-GOOG-015</x:v>
      </x:c>
      <x:c r="B55" s="9" t="str">
        <x:v>Yaasa</x:v>
      </x:c>
      <x:c r="C55" s="9" t="str">
        <x:v>Google</x:v>
      </x:c>
      <x:c r="D55" s="9" t="str">
        <x:v>A</x:v>
      </x:c>
      <x:c r="E55" s="9" t="str">
        <x:v>办公室采购场景（未逐一确认图中桌型）</x:v>
      </x:c>
      <x:c r="F55" s="9" t="str">
        <x:v>完整导出广告画面</x:v>
      </x:c>
      <x:c r="G55" s="9" t="n">
        <x:v>600</x:v>
      </x:c>
      <x:c r="H55" s="9" t="n">
        <x:v>1200</x:v>
      </x:c>
      <x:c r="I55" s="9" t="str">
        <x:v>1:2</x:v>
      </x:c>
      <x:c r="J55" s="9" t="str">
        <x:v>多工位|企业采购</x:v>
      </x:c>
      <x:c r="K55" s="9" t="str">
        <x:v>商务办公室</x:v>
      </x:c>
      <x:c r="L55" s="9" t="str">
        <x:v>Yaasa/Google/YAAS-GOOG-015.png</x:v>
      </x:c>
      <x:c r="M55" s="9" t="str">
        <x:v>https://adstransparency.google.com/advertiser/AR11132507814793052161/creative/CR08804287484801318913?region=DE&amp;start-date=2026-09-16&amp;end-date=2026-10-15&amp;format=IMAGE</x:v>
      </x:c>
      <x:c r="N55" s="9" t="str">
        <x:v>YAAS-GAD-015</x:v>
      </x:c>
      <x:c r="O55" s="9" t="str">
        <x:v>德国日期筛选列表已核验；单条首次/最后日期未读取</x:v>
      </x:c>
      <x:c r="P55" s="9"/>
      <x:c r="Q55" s="9"/>
      <x:c r="R55" s="9"/>
      <x:c r="S55" s="9" t="str">
        <x:v>否</x:v>
      </x:c>
      <x:c r="T55" s="9" t="str">
        <x:v>是</x:v>
      </x:c>
      <x:c r="U55" s="9" t="str">
        <x:v>01_Original_Competitor_Ads/Yaasa/Google/YAAS-GOOG-015.png</x:v>
      </x:c>
      <x:c r="V55" s="9" t="str">
        <x:v>a5509ab832822cc5beed5a327e640ff7fd80a22a916b1aa18e56ac0d2e123e9b</x:v>
      </x:c>
    </x:row>
    <x:row r="56" ht="115" customHeight="1">
      <x:c r="A56" s="9" t="str">
        <x:v>YAAS-GOOG-016</x:v>
      </x:c>
      <x:c r="B56" s="9" t="str">
        <x:v>Yaasa</x:v>
      </x:c>
      <x:c r="C56" s="9" t="str">
        <x:v>Google</x:v>
      </x:c>
      <x:c r="D56" s="9" t="str">
        <x:v>A</x:v>
      </x:c>
      <x:c r="E56" s="9" t="str">
        <x:v>办公室采购场景（未逐一确认图中桌型）</x:v>
      </x:c>
      <x:c r="F56" s="9" t="str">
        <x:v>完整导出广告画面</x:v>
      </x:c>
      <x:c r="G56" s="9" t="n">
        <x:v>1428</x:v>
      </x:c>
      <x:c r="H56" s="9" t="n">
        <x:v>838</x:v>
      </x:c>
      <x:c r="I56" s="9" t="str">
        <x:v>714:419</x:v>
      </x:c>
      <x:c r="J56" s="9" t="str">
        <x:v>多工位|企业采购</x:v>
      </x:c>
      <x:c r="K56" s="9" t="str">
        <x:v>商务办公室</x:v>
      </x:c>
      <x:c r="L56" s="9" t="str">
        <x:v>Yaasa/Google/YAAS-GOOG-016.png</x:v>
      </x:c>
      <x:c r="M56" s="9" t="str">
        <x:v>https://adstransparency.google.com/advertiser/AR11132507814793052161/creative/CR16743120977646321665?region=DE&amp;start-date=2026-09-16&amp;end-date=2026-10-15&amp;format=IMAGE</x:v>
      </x:c>
      <x:c r="N56" s="9" t="str">
        <x:v>YAAS-GAD-016</x:v>
      </x:c>
      <x:c r="O56" s="9" t="str">
        <x:v>德国日期筛选列表已核验；单条首次/最后日期未读取</x:v>
      </x:c>
      <x:c r="P56" s="9"/>
      <x:c r="Q56" s="9"/>
      <x:c r="R56" s="9"/>
      <x:c r="S56" s="9" t="str">
        <x:v>否</x:v>
      </x:c>
      <x:c r="T56" s="9" t="str">
        <x:v>是</x:v>
      </x:c>
      <x:c r="U56" s="9" t="str">
        <x:v>01_Original_Competitor_Ads/Yaasa/Google/YAAS-GOOG-016.png</x:v>
      </x:c>
      <x:c r="V56" s="9" t="str">
        <x:v>a9237ca7c8525b07ee1add87cb527960ac8cace96f9f7be8a9a8ca37d69f4d9a</x:v>
      </x:c>
    </x:row>
    <x:row r="57" ht="115" customHeight="1">
      <x:c r="A57" s="9" t="str">
        <x:v>YAAS-GOOG-017</x:v>
      </x:c>
      <x:c r="B57" s="9" t="str">
        <x:v>Yaasa</x:v>
      </x:c>
      <x:c r="C57" s="9" t="str">
        <x:v>Google</x:v>
      </x:c>
      <x:c r="D57" s="9" t="str">
        <x:v>A</x:v>
      </x:c>
      <x:c r="E57" s="9" t="str">
        <x:v>办公采购邻近素材</x:v>
      </x:c>
      <x:c r="F57" s="9" t="str">
        <x:v>完整导出广告画面</x:v>
      </x:c>
      <x:c r="G57" s="9" t="n">
        <x:v>600</x:v>
      </x:c>
      <x:c r="H57" s="9" t="n">
        <x:v>1200</x:v>
      </x:c>
      <x:c r="I57" s="9" t="str">
        <x:v>1:2</x:v>
      </x:c>
      <x:c r="J57" s="9" t="str">
        <x:v>企业采购|选购信息</x:v>
      </x:c>
      <x:c r="K57" s="9" t="str">
        <x:v>企业采购资料</x:v>
      </x:c>
      <x:c r="L57" s="9" t="str">
        <x:v>Yaasa/Google/YAAS-GOOG-017.png</x:v>
      </x:c>
      <x:c r="M57" s="9" t="str">
        <x:v>https://adstransparency.google.com/advertiser/AR11132507814793052161/creative/CR02933833138457018369?region=DE&amp;start-date=2026-09-16&amp;end-date=2026-10-15&amp;format=IMAGE</x:v>
      </x:c>
      <x:c r="N57" s="9" t="str">
        <x:v>YAAS-GAD-017</x:v>
      </x:c>
      <x:c r="O57" s="9" t="str">
        <x:v>德国日期筛选列表已核验；单条首次/最后日期未读取</x:v>
      </x:c>
      <x:c r="P57" s="9"/>
      <x:c r="Q57" s="9"/>
      <x:c r="R57" s="9"/>
      <x:c r="S57" s="9" t="str">
        <x:v>否</x:v>
      </x:c>
      <x:c r="T57" s="9" t="str">
        <x:v>否</x:v>
      </x:c>
      <x:c r="U57" s="9" t="str">
        <x:v>01_Original_Competitor_Ads/Yaasa/Google/YAAS-GOOG-017.png</x:v>
      </x:c>
      <x:c r="V57" s="9" t="str">
        <x:v>65521917ecea0d94f433fe21cca4a1dd6253959c4860b90e7ee30896f753f143</x:v>
      </x:c>
    </x:row>
    <x:row r="58" ht="115" customHeight="1">
      <x:c r="A58" s="9" t="str">
        <x:v>YAAS-GOOG-018</x:v>
      </x:c>
      <x:c r="B58" s="9" t="str">
        <x:v>Yaasa</x:v>
      </x:c>
      <x:c r="C58" s="9" t="str">
        <x:v>Google</x:v>
      </x:c>
      <x:c r="D58" s="9" t="str">
        <x:v>A</x:v>
      </x:c>
      <x:c r="E58" s="9" t="str">
        <x:v>办公室采购场景（未逐一确认图中桌型）</x:v>
      </x:c>
      <x:c r="F58" s="9" t="str">
        <x:v>完整导出广告画面</x:v>
      </x:c>
      <x:c r="G58" s="9" t="n">
        <x:v>1428</x:v>
      </x:c>
      <x:c r="H58" s="9" t="n">
        <x:v>838</x:v>
      </x:c>
      <x:c r="I58" s="9" t="str">
        <x:v>714:419</x:v>
      </x:c>
      <x:c r="J58" s="9" t="str">
        <x:v>多工位|购买信任</x:v>
      </x:c>
      <x:c r="K58" s="9" t="str">
        <x:v>商务办公室</x:v>
      </x:c>
      <x:c r="L58" s="9" t="str">
        <x:v>Yaasa/Google/YAAS-GOOG-018.png</x:v>
      </x:c>
      <x:c r="M58" s="9" t="str">
        <x:v>https://adstransparency.google.com/advertiser/AR11132507814793052161/creative/CR04084807545410027521?region=DE&amp;start-date=2026-09-16&amp;end-date=2026-10-15&amp;format=IMAGE</x:v>
      </x:c>
      <x:c r="N58" s="9" t="str">
        <x:v>YAAS-GAD-018</x:v>
      </x:c>
      <x:c r="O58" s="9" t="str">
        <x:v>德国日期筛选列表已核验；单条首次/最后日期未读取</x:v>
      </x:c>
      <x:c r="P58" s="9"/>
      <x:c r="Q58" s="9"/>
      <x:c r="R58" s="9"/>
      <x:c r="S58" s="9" t="str">
        <x:v>否</x:v>
      </x:c>
      <x:c r="T58" s="9" t="str">
        <x:v>是</x:v>
      </x:c>
      <x:c r="U58" s="9" t="str">
        <x:v>01_Original_Competitor_Ads/Yaasa/Google/YAAS-GOOG-018.png</x:v>
      </x:c>
      <x:c r="V58" s="9" t="str">
        <x:v>ade1ef0350e0db605de88a74121540a25bbf5c332181a7163e08a8f86dfdef2e</x:v>
      </x:c>
    </x:row>
    <x:row r="59" ht="115" customHeight="1">
      <x:c r="A59" s="9" t="str">
        <x:v>ERGO-META-2477194332778401</x:v>
      </x:c>
      <x:c r="B59" s="9" t="str">
        <x:v>Ergotopia</x:v>
      </x:c>
      <x:c r="C59" s="9" t="str">
        <x:v>Meta</x:v>
      </x:c>
      <x:c r="D59" s="9" t="str">
        <x:v>A</x:v>
      </x:c>
      <x:c r="E59" s="9" t="str">
        <x:v>升降桌核心或使用场景</x:v>
      </x:c>
      <x:c r="F59" s="9" t="str">
        <x:v>广告中的静态图片</x:v>
      </x:c>
      <x:c r="G59" s="9" t="n">
        <x:v>338</x:v>
      </x:c>
      <x:c r="H59" s="9" t="n">
        <x:v>600</x:v>
      </x:c>
      <x:c r="I59" s="9" t="str">
        <x:v>169:300</x:v>
      </x:c>
      <x:c r="J59" s="9" t="str">
        <x:v>材质感|购买信任</x:v>
      </x:c>
      <x:c r="K59" s="9" t="str">
        <x:v>质感产品布景</x:v>
      </x:c>
      <x:c r="L59" s="9" t="str">
        <x:v>Ergotopia/Meta/ERGO-META-2477194332778401.jpg</x:v>
      </x:c>
      <x:c r="M59" s="9" t="str">
        <x:v>https://www.facebook.com/ads/library/?active_status=all&amp;ad_type=all&amp;country=DE&amp;is_targeted_country=false&amp;media_type=all&amp;q=Ergotopia&amp;search_type=keyword_unordered&amp;sort_data[mode]=total_impressions&amp;sort_data[direction]=desc</x:v>
      </x:c>
      <x:c r="N59" s="9" t="str">
        <x:v>ERGO-MAD-2477194332778401</x:v>
      </x:c>
      <x:c r="O59" s="9" t="str">
        <x:v>德国公开列表中投放中，采集日可见；未公开停止日期</x:v>
      </x:c>
      <x:c r="P59" s="9" t="str">
        <x:v>Qualität, die man spürt.</x:v>
      </x:c>
      <x:c r="Q59" s="9" t="str">
        <x:v>Qualität, die man spürt – schon beim ersten Berühren. 🪵 Der Desktopia Pro X trägt bis zu 160 kg im fahrenden …</x:v>
      </x:c>
      <x:c r="R59" s="9" t="str">
        <x:v>https://www.ergotopia.de/ergonomie-shop/hoehenverstellbarer-schreibtisch/desktopia-pro-x</x:v>
      </x:c>
      <x:c r="S59" s="9" t="str">
        <x:v>否</x:v>
      </x:c>
      <x:c r="T59" s="9" t="str">
        <x:v>否</x:v>
      </x:c>
      <x:c r="U59" s="9" t="str">
        <x:v>01_Original_Competitor_Ads/Ergotopia/Meta/ERGO-META-2477194332778401.jpg</x:v>
      </x:c>
      <x:c r="V59" s="9" t="str">
        <x:v>f17ce7369c7cfa7d4a4f2a6eccd0ffc0c1e331f0af4ce2b826764b7cf320c4bf</x:v>
      </x:c>
    </x:row>
    <x:row r="60" ht="115" customHeight="1">
      <x:c r="A60" s="9" t="str">
        <x:v>ERGO-META-27557923087177457</x:v>
      </x:c>
      <x:c r="B60" s="9" t="str">
        <x:v>Ergotopia</x:v>
      </x:c>
      <x:c r="C60" s="9" t="str">
        <x:v>Meta</x:v>
      </x:c>
      <x:c r="D60" s="9" t="str">
        <x:v>A</x:v>
      </x:c>
      <x:c r="E60" s="9" t="str">
        <x:v>升降桌核心或使用场景</x:v>
      </x:c>
      <x:c r="F60" s="9" t="str">
        <x:v>广告中的静态图片</x:v>
      </x:c>
      <x:c r="G60" s="9" t="n">
        <x:v>338</x:v>
      </x:c>
      <x:c r="H60" s="9" t="n">
        <x:v>600</x:v>
      </x:c>
      <x:c r="I60" s="9" t="str">
        <x:v>169:300</x:v>
      </x:c>
      <x:c r="J60" s="9" t="str">
        <x:v>配送信息|购买信任</x:v>
      </x:c>
      <x:c r="K60" s="9" t="str">
        <x:v>Home Office</x:v>
      </x:c>
      <x:c r="L60" s="9" t="str">
        <x:v>Ergotopia/Meta/ERGO-META-27557923087177457.jpg</x:v>
      </x:c>
      <x:c r="M60" s="9" t="str">
        <x:v>https://www.facebook.com/ads/library/?active_status=all&amp;ad_type=all&amp;country=DE&amp;is_targeted_country=false&amp;media_type=all&amp;q=Ergotopia&amp;search_type=keyword_unordered&amp;sort_data[mode]=total_impressions&amp;sort_data[direction]=desc</x:v>
      </x:c>
      <x:c r="N60" s="9" t="str">
        <x:v>ERGO-MAD-27557923087177457</x:v>
      </x:c>
      <x:c r="O60" s="9" t="str">
        <x:v>德国公开列表的起止日期与研究窗口相交</x:v>
      </x:c>
      <x:c r="P60" s="9" t="str">
        <x:v>Versandkostenfrei bestellen.</x:v>
      </x:c>
      <x:c r="Q60" s="9" t="str">
        <x:v>Dein Rücken wartet nicht. Warum tust du es? Bestelle heute und arbeite übermorgen schon schmerzfrei. 📦 Versandkostenfrei bestellen. Bequem online bestellen. Order Now</x:v>
      </x:c>
      <x:c r="R60" s="9" t="str">
        <x:v>https://www.ergotopia.de/ergonomie-shop/hoehenverstellbarer-schreibtisch/desktopia-pro-x</x:v>
      </x:c>
      <x:c r="S60" s="9" t="str">
        <x:v>否</x:v>
      </x:c>
      <x:c r="T60" s="9" t="str">
        <x:v>否</x:v>
      </x:c>
      <x:c r="U60" s="9" t="str">
        <x:v>01_Original_Competitor_Ads/Ergotopia/Meta/ERGO-META-27557923087177457.jpg</x:v>
      </x:c>
      <x:c r="V60" s="9" t="str">
        <x:v>8397c5574925c4993720b930aa466444af2a30b0a3076899376494b9be1fd4c2</x:v>
      </x:c>
    </x:row>
    <x:row r="61" ht="115" customHeight="1">
      <x:c r="A61" s="9" t="str">
        <x:v>ERGO-META-924680070679562</x:v>
      </x:c>
      <x:c r="B61" s="9" t="str">
        <x:v>Ergotopia</x:v>
      </x:c>
      <x:c r="C61" s="9" t="str">
        <x:v>Meta</x:v>
      </x:c>
      <x:c r="D61" s="9" t="str">
        <x:v>A</x:v>
      </x:c>
      <x:c r="E61" s="9" t="str">
        <x:v>升降桌核心或使用场景</x:v>
      </x:c>
      <x:c r="F61" s="9" t="str">
        <x:v>广告中的静态图片</x:v>
      </x:c>
      <x:c r="G61" s="9" t="n">
        <x:v>338</x:v>
      </x:c>
      <x:c r="H61" s="9" t="n">
        <x:v>600</x:v>
      </x:c>
      <x:c r="I61" s="9" t="str">
        <x:v>169:300</x:v>
      </x:c>
      <x:c r="J61" s="9" t="str">
        <x:v>尺寸与配色选择|产品细节</x:v>
      </x:c>
      <x:c r="K61" s="9" t="str">
        <x:v>质感产品布景</x:v>
      </x:c>
      <x:c r="L61" s="9" t="str">
        <x:v>Ergotopia/Meta/ERGO-META-924680070679562.jpg</x:v>
      </x:c>
      <x:c r="M61" s="9" t="str">
        <x:v>https://www.facebook.com/ads/library/?active_status=all&amp;ad_type=all&amp;country=DE&amp;is_targeted_country=false&amp;media_type=all&amp;q=Ergotopia&amp;search_type=keyword_unordered&amp;sort_data[mode]=total_impressions&amp;sort_data[direction]=desc</x:v>
      </x:c>
      <x:c r="N61" s="9" t="str">
        <x:v>ERGO-MAD-924680070679562</x:v>
      </x:c>
      <x:c r="O61" s="9" t="str">
        <x:v>德国公开列表中投放中，采集日可见；未公开停止日期</x:v>
      </x:c>
      <x:c r="P61" s="9" t="str">
        <x:v>Ein Tisch? Dein Tisch. Jetzt selbst gestalten 🎨</x:v>
      </x:c>
      <x:c r="Q61" s="9" t="str">
        <x:v>Dein Schreibtisch. Deine Regeln. 🎨 Warum sich mit „Standard" zufriedengeben, wenn Dein Arbeitsplatz genau zu Dir passen …</x:v>
      </x:c>
      <x:c r="R61" s="9" t="str">
        <x:v>https://www.ergotopia.de/ergonomie-shop/hoehenverstellbarer-schreibtisch/desktopia-pro-x</x:v>
      </x:c>
      <x:c r="S61" s="9" t="str">
        <x:v>否</x:v>
      </x:c>
      <x:c r="T61" s="9" t="str">
        <x:v>否</x:v>
      </x:c>
      <x:c r="U61" s="9" t="str">
        <x:v>01_Original_Competitor_Ads/Ergotopia/Meta/ERGO-META-924680070679562.jpg</x:v>
      </x:c>
      <x:c r="V61" s="9" t="str">
        <x:v>59074502837053e494e8c15ac0ce923b7e6d4b171641054b97782c0bbbeb8e87</x:v>
      </x:c>
    </x:row>
    <x:row r="62" ht="115" customHeight="1">
      <x:c r="A62" s="9" t="str">
        <x:v>DESK-META-1932019537461827</x:v>
      </x:c>
      <x:c r="B62" s="9" t="str">
        <x:v>Desktronic</x:v>
      </x:c>
      <x:c r="C62" s="9" t="str">
        <x:v>Meta</x:v>
      </x:c>
      <x:c r="D62" s="9" t="str">
        <x:v>A</x:v>
      </x:c>
      <x:c r="E62" s="9" t="str">
        <x:v>升降桌核心或使用场景</x:v>
      </x:c>
      <x:c r="F62" s="9" t="str">
        <x:v>广告中的静态图片</x:v>
      </x:c>
      <x:c r="G62" s="9" t="n">
        <x:v>600</x:v>
      </x:c>
      <x:c r="H62" s="9" t="n">
        <x:v>384</x:v>
      </x:c>
      <x:c r="I62" s="9" t="str">
        <x:v>25:16</x:v>
      </x:c>
      <x:c r="J62" s="9" t="str">
        <x:v>简约设计</x:v>
      </x:c>
      <x:c r="K62" s="9" t="str">
        <x:v>纯产品展示</x:v>
      </x:c>
      <x:c r="L62" s="9" t="str">
        <x:v>Desktronic/Meta/DESK-META-1932019537461827.jpg</x:v>
      </x:c>
      <x:c r="M62" s="9" t="str">
        <x:v>https://www.facebook.com/ads/library/?active_status=all&amp;ad_type=all&amp;country=DE&amp;is_targeted_country=false&amp;media_type=all&amp;q=Desktronic&amp;search_type=keyword_unordered&amp;sort_data[mode]=total_impressions&amp;sort_data[direction]=desc</x:v>
      </x:c>
      <x:c r="N62" s="9" t="str">
        <x:v>DESK-MAD-1932019537461827</x:v>
      </x:c>
      <x:c r="O62" s="9" t="str">
        <x:v>德国公开列表的起止日期与研究窗口相交</x:v>
      </x:c>
      <x:c r="P62" s="9" t="str">
        <x:v>HomeOne Schreibtisch Weiß / Weiß / 160x80 cm</x:v>
      </x:c>
      <x:c r="Q62" s="9" t="str">
        <x:v>Upgrade dein Homeoffice dieses Jahr mit verstellbaren Schreibtischen, Stühlen und Zubehör. DESKTRONIC.DE HomeOne Schreibtisch Weiß / Weiß …</x:v>
      </x:c>
      <x:c r="R62" s="9" t="str">
        <x:v>https://desktronic.de/products/hohenverstellbarer-schreibtisch?variant=38107832385725</x:v>
      </x:c>
      <x:c r="S62" s="9" t="str">
        <x:v>否</x:v>
      </x:c>
      <x:c r="T62" s="9" t="str">
        <x:v>否</x:v>
      </x:c>
      <x:c r="U62" s="9" t="str">
        <x:v>01_Original_Competitor_Ads/Desktronic/Meta/DESK-META-1932019537461827.jpg</x:v>
      </x:c>
      <x:c r="V62" s="9" t="str">
        <x:v>18095ff1d87117414001736ebcf93dda46480a6d75eb8427465e53d6b3a26d0a</x:v>
      </x:c>
    </x:row>
    <x:row r="63" ht="115" customHeight="1">
      <x:c r="A63" s="9" t="str">
        <x:v>DESK-META-980177638167248</x:v>
      </x:c>
      <x:c r="B63" s="9" t="str">
        <x:v>Desktronic</x:v>
      </x:c>
      <x:c r="C63" s="9" t="str">
        <x:v>Meta</x:v>
      </x:c>
      <x:c r="D63" s="9" t="str">
        <x:v>A</x:v>
      </x:c>
      <x:c r="E63" s="9" t="str">
        <x:v>桌椅使用邻近场景（第三方广告，未单独确认桌型）</x:v>
      </x:c>
      <x:c r="F63" s="9" t="str">
        <x:v>广告中的静态图片</x:v>
      </x:c>
      <x:c r="G63" s="9" t="n">
        <x:v>338</x:v>
      </x:c>
      <x:c r="H63" s="9" t="n">
        <x:v>600</x:v>
      </x:c>
      <x:c r="I63" s="9" t="str">
        <x:v>169:300</x:v>
      </x:c>
      <x:c r="J63" s="9" t="str">
        <x:v>真实使用|桌椅搭配</x:v>
      </x:c>
      <x:c r="K63" s="9" t="str">
        <x:v>Home Office</x:v>
      </x:c>
      <x:c r="L63" s="9" t="str">
        <x:v>Desktronic/Meta/DESK-META-980177638167248.jpg</x:v>
      </x:c>
      <x:c r="M63" s="9" t="str">
        <x:v>https://www.facebook.com/ads/library/?active_status=all&amp;ad_type=all&amp;country=DE&amp;is_targeted_country=false&amp;media_type=all&amp;q=Desktronic&amp;search_type=keyword_unordered&amp;sort_data[mode]=total_impressions&amp;sort_data[direction]=desc</x:v>
      </x:c>
      <x:c r="N63" s="9" t="str">
        <x:v>DESK-MAD-980177638167248</x:v>
      </x:c>
      <x:c r="O63" s="9" t="str">
        <x:v>德国公开列表的起止日期与研究窗口相交</x:v>
      </x:c>
      <x:c r="P63" s="9" t="str">
        <x:v>Kostenloser Versand und Rückgabe</x:v>
      </x:c>
      <x:c r="Q63" s="9" t="str">
        <x:v>Neue Saison, besseres Setup. Verbessere deine Haltung und deinen Komfort mit ergonomischem Design Kostenloser Versand und Rückgabe Nicht verpassen Shop Now</x:v>
      </x:c>
      <x:c r="R63" s="9" t="str">
        <x:v>https://desktronic.de/</x:v>
      </x:c>
      <x:c r="S63" s="9" t="str">
        <x:v>否</x:v>
      </x:c>
      <x:c r="T63" s="9" t="str">
        <x:v>否</x:v>
      </x:c>
      <x:c r="U63" s="9" t="str">
        <x:v>01_Original_Competitor_Ads/Desktronic/Meta/DESK-META-980177638167248.jpg</x:v>
      </x:c>
      <x:c r="V63" s="9" t="str">
        <x:v>ef290776e912e344dd34452df65500b58f60d7f0fea20e098d1c7fa8dc827279</x:v>
      </x:c>
    </x:row>
    <x:row r="64" ht="115" customHeight="1">
      <x:c r="A64" s="9" t="str">
        <x:v>DESK-META-1410195800539377</x:v>
      </x:c>
      <x:c r="B64" s="9" t="str">
        <x:v>Desktronic</x:v>
      </x:c>
      <x:c r="C64" s="9" t="str">
        <x:v>Meta</x:v>
      </x:c>
      <x:c r="D64" s="9" t="str">
        <x:v>A</x:v>
      </x:c>
      <x:c r="E64" s="9" t="str">
        <x:v>升降桌核心或使用场景</x:v>
      </x:c>
      <x:c r="F64" s="9" t="str">
        <x:v>广告中的静态图片</x:v>
      </x:c>
      <x:c r="G64" s="9" t="n">
        <x:v>600</x:v>
      </x:c>
      <x:c r="H64" s="9" t="n">
        <x:v>384</x:v>
      </x:c>
      <x:c r="I64" s="9" t="str">
        <x:v>25:16</x:v>
      </x:c>
      <x:c r="J64" s="9" t="str">
        <x:v>简约设计|产品细节</x:v>
      </x:c>
      <x:c r="K64" s="9" t="str">
        <x:v>纯产品展示</x:v>
      </x:c>
      <x:c r="L64" s="9" t="str">
        <x:v>Desktronic/Meta/DESK-META-1410195800539377.jpg</x:v>
      </x:c>
      <x:c r="M64" s="9" t="str">
        <x:v>https://www.facebook.com/ads/library/?active_status=all&amp;ad_type=all&amp;country=DE&amp;is_targeted_country=false&amp;media_type=all&amp;q=Desktronic&amp;search_type=keyword_unordered&amp;sort_data[mode]=total_impressions&amp;sort_data[direction]=desc</x:v>
      </x:c>
      <x:c r="N64" s="9" t="str">
        <x:v>DESK-MAD-1410195800539377</x:v>
      </x:c>
      <x:c r="O64" s="9" t="str">
        <x:v>德国公开列表中投放中，采集日可见；未公开停止日期</x:v>
      </x:c>
      <x:c r="P64" s="9" t="str">
        <x:v>HomePro Schreibtisch Schwarz / Walnuss / 160x80 cm</x:v>
      </x:c>
      <x:c r="Q64" s="9" t="str">
        <x:v>Upgrade dein Homeoffice dieses Jahr mit verstellbaren Schreibtischen, Stühlen und Zubehör. DESKTRONIC.DE HomePro Schreibtisch Schwarz / Walnuss …</x:v>
      </x:c>
      <x:c r="R64" s="9" t="str">
        <x:v>https://desktronic.de/products/homepro?variant=42626563997885</x:v>
      </x:c>
      <x:c r="S64" s="9" t="str">
        <x:v>否</x:v>
      </x:c>
      <x:c r="T64" s="9" t="str">
        <x:v>否</x:v>
      </x:c>
      <x:c r="U64" s="9" t="str">
        <x:v>01_Original_Competitor_Ads/Desktronic/Meta/DESK-META-1410195800539377.jpg</x:v>
      </x:c>
      <x:c r="V64" s="9" t="str">
        <x:v>5eb1d598d5de1c4cb4c8f7ed3cd3f18a825febd2270b4610fb1bce6c0f5f003f</x:v>
      </x:c>
    </x:row>
    <x:row r="65" ht="115" customHeight="1">
      <x:c r="A65" s="9" t="str">
        <x:v>YAAS-META-4706898742970032</x:v>
      </x:c>
      <x:c r="B65" s="9" t="str">
        <x:v>Yaasa</x:v>
      </x:c>
      <x:c r="C65" s="9" t="str">
        <x:v>Meta</x:v>
      </x:c>
      <x:c r="D65" s="9" t="str">
        <x:v>A</x:v>
      </x:c>
      <x:c r="E65" s="9" t="str">
        <x:v>办公采购邻近素材</x:v>
      </x:c>
      <x:c r="F65" s="9" t="str">
        <x:v>广告中的静态图片</x:v>
      </x:c>
      <x:c r="G65" s="9" t="n">
        <x:v>338</x:v>
      </x:c>
      <x:c r="H65" s="9" t="n">
        <x:v>600</x:v>
      </x:c>
      <x:c r="I65" s="9" t="str">
        <x:v>169:300</x:v>
      </x:c>
      <x:c r="J65" s="9" t="str">
        <x:v>企业采购|选购信息</x:v>
      </x:c>
      <x:c r="K65" s="9" t="str">
        <x:v>企业采购资料</x:v>
      </x:c>
      <x:c r="L65" s="9" t="str">
        <x:v>Yaasa/Meta/YAAS-META-4706898742970032.jpg</x:v>
      </x:c>
      <x:c r="M65" s="9" t="str">
        <x:v>https://www.facebook.com/ads/library/?active_status=all&amp;ad_type=all&amp;country=DE&amp;is_targeted_country=false&amp;media_type=all&amp;q=Yaasa&amp;search_type=keyword_unordered&amp;sort_data[mode]=total_impressions&amp;sort_data[direction]=desc</x:v>
      </x:c>
      <x:c r="N65" s="9" t="str">
        <x:v>YAAS-MAD-4706898742970032</x:v>
      </x:c>
      <x:c r="O65" s="9" t="str">
        <x:v>德国公开列表的起止日期与研究窗口相交</x:v>
      </x:c>
      <x:c r="P65" s="9" t="str">
        <x:v>Zufriedene Teams, weniger Ausfälle ✅</x:v>
      </x:c>
      <x:c r="Q65" s="9" t="str">
        <x:v>SPOILER... Ein richtig eingestellter Arbeitsplatz macht den Unterschied. 💡 Mitarbeiter sind seltener krank und zufriedener im Job. Beides hängt öfter …</x:v>
      </x:c>
      <x:c r="R65" s="9" t="str">
        <x:v>https://yaasa.com/pages/lead-magnets/ergonomie-quick-wins</x:v>
      </x:c>
      <x:c r="S65" s="9" t="str">
        <x:v>否</x:v>
      </x:c>
      <x:c r="T65" s="9" t="str">
        <x:v>是</x:v>
      </x:c>
      <x:c r="U65" s="9" t="str">
        <x:v>01_Original_Competitor_Ads/Yaasa/Meta/YAAS-META-4706898742970032.jpg</x:v>
      </x:c>
      <x:c r="V65" s="9" t="str">
        <x:v>31d553cf703fef4f8a046063288d20ea0d70d33bbc9976ec4b74545f1f840b28</x:v>
      </x:c>
    </x:row>
  </x:sheetData>
  <x:pageMargins left="0.7" right="0.7" top="0.75" bottom="0.75" header="0.3" footer="0.3"/>
  <x:tableParts count="1">
    <x:tablePart xmlns:r="http://schemas.openxmlformats.org/officeDocument/2006/relationships" r:id="R612998b765bc42c4"/>
  </x:tableParts>
</x:worksheet>
</file>

<file path=xl/worksheets/sheet3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6" hidden="0" customWidth="1"/>
    <x:col min="2" max="2" width="31" hidden="0" customWidth="1"/>
    <x:col min="3" max="3" width="16" hidden="0" customWidth="1"/>
    <x:col min="4" max="4" width="12" hidden="0" customWidth="1"/>
    <x:col min="5" max="5" width="48" hidden="0" customWidth="1"/>
    <x:col min="6" max="6" width="17" hidden="0" customWidth="1"/>
    <x:col min="7" max="7" width="17" hidden="0" customWidth="1"/>
    <x:col min="8" max="8" width="38" hidden="0" customWidth="1"/>
    <x:col min="9" max="9" width="70" hidden="0" customWidth="1"/>
    <x:col min="10" max="10" width="64" hidden="0" customWidth="1"/>
    <x:col min="11" max="11" width="64" hidden="0" customWidth="1"/>
    <x:col min="12" max="12" width="70" hidden="0" customWidth="1"/>
    <x:col min="13" max="13" width="70" hidden="0" customWidth="1"/>
    <x:col min="14" max="14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不同广告投放记录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7" t="str">
        <x:v>Ad_Record_ID</x:v>
      </x:c>
      <x:c r="B5" s="7" t="str">
        <x:v>Material_ID</x:v>
      </x:c>
      <x:c r="C5" s="7" t="str">
        <x:v>品牌</x:v>
      </x:c>
      <x:c r="D5" s="7" t="str">
        <x:v>平台</x:v>
      </x:c>
      <x:c r="E5" s="7" t="str">
        <x:v>广告主</x:v>
      </x:c>
      <x:c r="F5" s="7" t="str">
        <x:v>首次公开日期</x:v>
      </x:c>
      <x:c r="G5" s="7" t="str">
        <x:v>最后公开日期</x:v>
      </x:c>
      <x:c r="H5" s="7" t="str">
        <x:v>公开状态</x:v>
      </x:c>
      <x:c r="I5" s="7" t="str">
        <x:v>日期证据</x:v>
      </x:c>
      <x:c r="J5" s="7" t="str">
        <x:v>标题短摘录</x:v>
      </x:c>
      <x:c r="K5" s="7" t="str">
        <x:v>正文短摘录</x:v>
      </x:c>
      <x:c r="L5" s="7" t="str">
        <x:v>落地页</x:v>
      </x:c>
      <x:c r="M5" s="7" t="str">
        <x:v>原广告来源</x:v>
      </x:c>
      <x:c r="N5" s="7" t="str">
        <x:v>正文状态</x:v>
      </x:c>
    </x:row>
    <x:row r="6" ht="115" customHeight="1">
      <x:c r="A6" s="9" t="str">
        <x:v>FLEX-GAD-012</x:v>
      </x:c>
      <x:c r="B6" s="9" t="str">
        <x:v>FLEX-GOOG-012</x:v>
      </x:c>
      <x:c r="C6" s="9" t="str">
        <x:v>FlexiSpot</x:v>
      </x:c>
      <x:c r="D6" s="9" t="str">
        <x:v>Google</x:v>
      </x:c>
      <x:c r="E6" s="9" t="str">
        <x:v>Flexispot GmbH</x:v>
      </x:c>
      <x:c r="F6" s="10" t="d">
        <x:v>2026-10-09T00:00:00.000Z</x:v>
      </x:c>
      <x:c r="G6" s="10" t="d">
        <x:v>2026-10-14T00:00:00.000Z</x:v>
      </x:c>
      <x:c r="H6" s="9" t="str">
        <x:v>未以最后展示日期推断当前状态</x:v>
      </x:c>
      <x:c r="I6" s="9" t="str">
        <x:v>详情日期与德国地区已核验</x:v>
      </x:c>
      <x:c r="J6" s="9" t="str">
        <x:v>FlexiSpot Doppelmotor Elektrisches Tischgestell E2Q mit 4 Beinen, Schwarz, Traglast 150kg</x:v>
      </x:c>
      <x:c r="K6" s="9"/>
      <x:c r="L6" s="9"/>
      <x:c r="M6" s="9" t="str">
        <x:v>https://adstransparency.google.com/advertiser/AR05859906800018522113/creative/CR03255810653201367041?region=DE&amp;start-date=2026-09-16&amp;end-date=2026-10-15&amp;format=IMAGE</x:v>
      </x:c>
      <x:c r="N6" s="9" t="str">
        <x:v>短摘录；完整标题/正文需回原平台查看。空字段表示未公开或未读取。</x:v>
      </x:c>
    </x:row>
    <x:row r="7" ht="115" customHeight="1">
      <x:c r="A7" s="9" t="str">
        <x:v>FLEX-GAD-029</x:v>
      </x:c>
      <x:c r="B7" s="9" t="str">
        <x:v>FLEX-GOOG-029</x:v>
      </x:c>
      <x:c r="C7" s="9" t="str">
        <x:v>FlexiSpot</x:v>
      </x:c>
      <x:c r="D7" s="9" t="str">
        <x:v>Google</x:v>
      </x:c>
      <x:c r="E7" s="9" t="str">
        <x:v>Flexispot GmbH</x:v>
      </x:c>
      <x:c r="F7" s="10" t="d">
        <x:v>2025-06-19T00:00:00.000Z</x:v>
      </x:c>
      <x:c r="G7" s="10" t="d">
        <x:v>2026-10-14T00:00:00.000Z</x:v>
      </x:c>
      <x:c r="H7" s="9" t="str">
        <x:v>未以最后展示日期推断当前状态</x:v>
      </x:c>
      <x:c r="I7" s="9" t="str">
        <x:v>详情日期与德国地区已核验</x:v>
      </x:c>
      <x:c r="J7" s="9" t="str">
        <x:v>FlexiSpot Doppelmotor Elektrisches Tischgestell E2Q mit 4 Beinen, Schwarz, 180x80cm, Traglast 150kg</x:v>
      </x:c>
      <x:c r="K7" s="9"/>
      <x:c r="L7" s="9"/>
      <x:c r="M7" s="9" t="str">
        <x:v>https://adstransparency.google.com/advertiser/AR05859906800018522113/creative/CR03533669619636109313?region=DE&amp;start-date=2026-09-16&amp;end-date=2026-10-15&amp;format=IMAGE</x:v>
      </x:c>
      <x:c r="N7" s="9" t="str">
        <x:v>短摘录；完整标题/正文需回原平台查看。空字段表示未公开或未读取。</x:v>
      </x:c>
    </x:row>
    <x:row r="8" ht="115" customHeight="1">
      <x:c r="A8" s="9" t="str">
        <x:v>FLEX-GAD-033</x:v>
      </x:c>
      <x:c r="B8" s="9" t="str">
        <x:v>FLEX-GOOG-033</x:v>
      </x:c>
      <x:c r="C8" s="9" t="str">
        <x:v>FlexiSpot</x:v>
      </x:c>
      <x:c r="D8" s="9" t="str">
        <x:v>Google</x:v>
      </x:c>
      <x:c r="E8" s="9" t="str">
        <x:v>Flexispot GmbH</x:v>
      </x:c>
      <x:c r="F8" s="10" t="d">
        <x:v>2026-09-17T00:00:00.000Z</x:v>
      </x:c>
      <x:c r="G8" s="10" t="d">
        <x:v>2026-10-14T00:00:00.000Z</x:v>
      </x:c>
      <x:c r="H8" s="9" t="str">
        <x:v>未以最后展示日期推断当前状态</x:v>
      </x:c>
      <x:c r="I8" s="9" t="str">
        <x:v>详情日期与德国地区已核验</x:v>
      </x:c>
      <x:c r="J8" s="9"/>
      <x:c r="K8" s="9"/>
      <x:c r="L8" s="9"/>
      <x:c r="M8" s="9" t="str">
        <x:v>https://adstransparency.google.com/advertiser/AR05859906800018522113/creative/CR15680583967407341569?region=DE&amp;start-date=2026-09-16&amp;end-date=2026-10-15&amp;format=IMAGE</x:v>
      </x:c>
      <x:c r="N8" s="9" t="str">
        <x:v>短摘录；完整标题/正文需回原平台查看。空字段表示未公开或未读取。</x:v>
      </x:c>
    </x:row>
    <x:row r="9" ht="115" customHeight="1">
      <x:c r="A9" s="9" t="str">
        <x:v>FLEX-GAD-036</x:v>
      </x:c>
      <x:c r="B9" s="9" t="str">
        <x:v>FLEX-GOOG-036</x:v>
      </x:c>
      <x:c r="C9" s="9" t="str">
        <x:v>FlexiSpot</x:v>
      </x:c>
      <x:c r="D9" s="9" t="str">
        <x:v>Google</x:v>
      </x:c>
      <x:c r="E9" s="9" t="str">
        <x:v>Flexispot GmbH</x:v>
      </x:c>
      <x:c r="F9" s="10" t="d">
        <x:v>2026-07-11T00:00:00.000Z</x:v>
      </x:c>
      <x:c r="G9" s="10" t="d">
        <x:v>2026-10-14T00:00:00.000Z</x:v>
      </x:c>
      <x:c r="H9" s="9" t="str">
        <x:v>未以最后展示日期推断当前状态</x:v>
      </x:c>
      <x:c r="I9" s="9" t="str">
        <x:v>详情日期与德国地区已核验</x:v>
      </x:c>
      <x:c r="J9" s="9" t="str">
        <x:v>FlexiSpot E5 Pro elektrisch höhenverstellbarer Schreibtisch mit Dual-Motor, 3-stufigem Gestell und 140 kg Tragkraft.</x:v>
      </x:c>
      <x:c r="K9" s="9"/>
      <x:c r="L9" s="9"/>
      <x:c r="M9" s="9" t="str">
        <x:v>https://adstransparency.google.com/advertiser/AR05859906800018522113/creative/CR08296844176885022721?region=DE&amp;start-date=2026-09-16&amp;end-date=2026-10-15&amp;format=IMAGE</x:v>
      </x:c>
      <x:c r="N9" s="9" t="str">
        <x:v>短摘录；完整标题/正文需回原平台查看。空字段表示未公开或未读取。</x:v>
      </x:c>
    </x:row>
    <x:row r="10" ht="115" customHeight="1">
      <x:c r="A10" s="9" t="str">
        <x:v>FLEX-GAD-040</x:v>
      </x:c>
      <x:c r="B10" s="9" t="str">
        <x:v>FLEX-GOOG-040</x:v>
      </x:c>
      <x:c r="C10" s="9" t="str">
        <x:v>FlexiSpot</x:v>
      </x:c>
      <x:c r="D10" s="9" t="str">
        <x:v>Google</x:v>
      </x:c>
      <x:c r="E10" s="9" t="str">
        <x:v>Flexispot GmbH</x:v>
      </x:c>
      <x:c r="F10" s="10" t="d">
        <x:v>2026-09-02T00:00:00.000Z</x:v>
      </x:c>
      <x:c r="G10" s="10" t="d">
        <x:v>2026-10-14T00:00:00.000Z</x:v>
      </x:c>
      <x:c r="H10" s="9" t="str">
        <x:v>未以最后展示日期推断当前状态</x:v>
      </x:c>
      <x:c r="I10" s="9" t="str">
        <x:v>详情日期与德国地区已核验</x:v>
      </x:c>
      <x:c r="J10" s="9" t="str">
        <x:v>FlexiSpot Elektrisch höhenverstellbarer Massivholz-Schreibtisch mit integriertem Design, 140 x 80 cm</x:v>
      </x:c>
      <x:c r="K10" s="9"/>
      <x:c r="L10" s="9"/>
      <x:c r="M10" s="9" t="str">
        <x:v>https://adstransparency.google.com/advertiser/AR05859906800018522113/creative/CR02363687156309819393?region=DE&amp;start-date=2026-09-16&amp;end-date=2026-10-15&amp;format=IMAGE</x:v>
      </x:c>
      <x:c r="N10" s="9" t="str">
        <x:v>短摘录；完整标题/正文需回原平台查看。空字段表示未公开或未读取。</x:v>
      </x:c>
    </x:row>
    <x:row r="11" ht="115" customHeight="1">
      <x:c r="A11" s="9" t="str">
        <x:v>FLEX-GAD-041</x:v>
      </x:c>
      <x:c r="B11" s="9" t="str">
        <x:v>FLEX-GOOG-041</x:v>
      </x:c>
      <x:c r="C11" s="9" t="str">
        <x:v>FlexiSpot</x:v>
      </x:c>
      <x:c r="D11" s="9" t="str">
        <x:v>Google</x:v>
      </x:c>
      <x:c r="E11" s="9" t="str">
        <x:v>Flexispot GmbH</x:v>
      </x:c>
      <x:c r="F11" s="10"/>
      <x:c r="G11" s="10"/>
      <x:c r="H11" s="9" t="str">
        <x:v>未以最后展示日期推断当前状态</x:v>
      </x:c>
      <x:c r="I11" s="9" t="str">
        <x:v>德国日期筛选列表已核验；单条首次/最后日期未读取</x:v>
      </x:c>
      <x:c r="J11" s="9" t="str">
        <x:v>Höhenverstellbar</x:v>
      </x:c>
      <x:c r="K11" s="9"/>
      <x:c r="L11" s="9"/>
      <x:c r="M11" s="9" t="str">
        <x:v>https://adstransparency.google.com/advertiser/AR05859906800018522113/creative/CR11519118823496089601?region=DE&amp;start-date=2026-09-16&amp;end-date=2026-10-15&amp;format=IMAGE</x:v>
      </x:c>
      <x:c r="N11" s="9" t="str">
        <x:v>短摘录；完整标题/正文需回原平台查看。空字段表示未公开或未读取。</x:v>
      </x:c>
    </x:row>
    <x:row r="12" ht="115" customHeight="1">
      <x:c r="A12" s="9" t="str">
        <x:v>FLEX-GAD-048</x:v>
      </x:c>
      <x:c r="B12" s="9" t="str">
        <x:v>FLEX-GOOG-048</x:v>
      </x:c>
      <x:c r="C12" s="9" t="str">
        <x:v>FlexiSpot</x:v>
      </x:c>
      <x:c r="D12" s="9" t="str">
        <x:v>Google</x:v>
      </x:c>
      <x:c r="E12" s="9" t="str">
        <x:v>Flexispot GmbH</x:v>
      </x:c>
      <x:c r="F12" s="10" t="d">
        <x:v>2026-10-08T00:00:00.000Z</x:v>
      </x:c>
      <x:c r="G12" s="10" t="d">
        <x:v>2026-10-13T00:00:00.000Z</x:v>
      </x:c>
      <x:c r="H12" s="9" t="str">
        <x:v>未以最后展示日期推断当前状态</x:v>
      </x:c>
      <x:c r="I12" s="9" t="str">
        <x:v>详情日期与德国地区已核验</x:v>
      </x:c>
      <x:c r="J12" s="9"/>
      <x:c r="K12" s="9"/>
      <x:c r="L12" s="9"/>
      <x:c r="M12" s="9" t="str">
        <x:v>https://adstransparency.google.com/advertiser/AR05859906800018522113/creative/CR11342925383679868929?region=DE&amp;start-date=2026-09-16&amp;end-date=2026-10-15&amp;format=IMAGE</x:v>
      </x:c>
      <x:c r="N12" s="9" t="str">
        <x:v>短摘录；完整标题/正文需回原平台查看。空字段表示未公开或未读取。</x:v>
      </x:c>
    </x:row>
    <x:row r="13" ht="115" customHeight="1">
      <x:c r="A13" s="9" t="str">
        <x:v>FLEX-GAD-057</x:v>
      </x:c>
      <x:c r="B13" s="9" t="str">
        <x:v>FLEX-GOOG-057</x:v>
      </x:c>
      <x:c r="C13" s="9" t="str">
        <x:v>FlexiSpot</x:v>
      </x:c>
      <x:c r="D13" s="9" t="str">
        <x:v>Google</x:v>
      </x:c>
      <x:c r="E13" s="9" t="str">
        <x:v>Flexispot GmbH</x:v>
      </x:c>
      <x:c r="F13" s="10"/>
      <x:c r="G13" s="10"/>
      <x:c r="H13" s="9" t="str">
        <x:v>未以最后展示日期推断当前状态</x:v>
      </x:c>
      <x:c r="I13" s="9" t="str">
        <x:v>德国日期筛选列表已核验；单条首次/最后日期未读取</x:v>
      </x:c>
      <x:c r="J13" s="9" t="str">
        <x:v>FlexiSpot E7 Hive Massivholz-Schreibtisch mit modularem Stauraum, elektrisch höhenverstellbar,140x80cm</x:v>
      </x:c>
      <x:c r="K13" s="9"/>
      <x:c r="L13" s="9"/>
      <x:c r="M13" s="9" t="str">
        <x:v>https://adstransparency.google.com/advertiser/AR05859906800018522113/creative/CR12061477561239076865?region=DE&amp;start-date=2026-09-16&amp;end-date=2026-10-15&amp;format=IMAGE</x:v>
      </x:c>
      <x:c r="N13" s="9" t="str">
        <x:v>短摘录；完整标题/正文需回原平台查看。空字段表示未公开或未读取。</x:v>
      </x:c>
    </x:row>
    <x:row r="14" ht="115" customHeight="1">
      <x:c r="A14" s="9" t="str">
        <x:v>FLEX-GAD-059</x:v>
      </x:c>
      <x:c r="B14" s="9" t="str">
        <x:v>FLEX-GOOG-059</x:v>
      </x:c>
      <x:c r="C14" s="9" t="str">
        <x:v>FlexiSpot</x:v>
      </x:c>
      <x:c r="D14" s="9" t="str">
        <x:v>Google</x:v>
      </x:c>
      <x:c r="E14" s="9" t="str">
        <x:v>Flexispot GmbH</x:v>
      </x:c>
      <x:c r="F14" s="10" t="d">
        <x:v>2026-10-07T00:00:00.000Z</x:v>
      </x:c>
      <x:c r="G14" s="10" t="d">
        <x:v>2026-10-14T00:00:00.000Z</x:v>
      </x:c>
      <x:c r="H14" s="9" t="str">
        <x:v>未以最后展示日期推断当前状态</x:v>
      </x:c>
      <x:c r="I14" s="9" t="str">
        <x:v>详情日期与德国地区已核验</x:v>
      </x:c>
      <x:c r="J14" s="9" t="str">
        <x:v>FlexiSpot Elektrisch höhenverstellbarer schreibtisch E1 Pro, nur Tischgestell, Weiß</x:v>
      </x:c>
      <x:c r="K14" s="9"/>
      <x:c r="L14" s="9"/>
      <x:c r="M14" s="9" t="str">
        <x:v>https://adstransparency.google.com/advertiser/AR05859906800018522113/creative/CR07168334819712040961?region=DE&amp;start-date=2026-09-16&amp;end-date=2026-10-15&amp;format=IMAGE</x:v>
      </x:c>
      <x:c r="N14" s="9" t="str">
        <x:v>短摘录；完整标题/正文需回原平台查看。空字段表示未公开或未读取。</x:v>
      </x:c>
    </x:row>
    <x:row r="15" ht="115" customHeight="1">
      <x:c r="A15" s="9" t="str">
        <x:v>FLEX-GAD-066</x:v>
      </x:c>
      <x:c r="B15" s="9" t="str">
        <x:v>FLEX-GOOG-066</x:v>
      </x:c>
      <x:c r="C15" s="9" t="str">
        <x:v>FlexiSpot</x:v>
      </x:c>
      <x:c r="D15" s="9" t="str">
        <x:v>Google</x:v>
      </x:c>
      <x:c r="E15" s="9" t="str">
        <x:v>Flexispot GmbH</x:v>
      </x:c>
      <x:c r="F15" s="10" t="d">
        <x:v>2024-11-26T00:00:00.000Z</x:v>
      </x:c>
      <x:c r="G15" s="10" t="d">
        <x:v>2026-10-14T00:00:00.000Z</x:v>
      </x:c>
      <x:c r="H15" s="9" t="str">
        <x:v>未以最后展示日期推断当前状态</x:v>
      </x:c>
      <x:c r="I15" s="9" t="str">
        <x:v>详情日期与德国地区已核验</x:v>
      </x:c>
      <x:c r="J15" s="9" t="str">
        <x:v>FlexiSpot Höhenverstellbarer Schreibtisch mit Schublade Q3, Schwarz, 120 x 60 cm, Inklusive 1 USB- und 1 Typ-C-Anschluss</x:v>
      </x:c>
      <x:c r="K15" s="9"/>
      <x:c r="L15" s="9"/>
      <x:c r="M15" s="9" t="str">
        <x:v>https://adstransparency.google.com/advertiser/AR05859906800018522113/creative/CR16824565042321031169?region=DE&amp;start-date=2026-09-16&amp;end-date=2026-10-15&amp;format=IMAGE</x:v>
      </x:c>
      <x:c r="N15" s="9" t="str">
        <x:v>短摘录；完整标题/正文需回原平台查看。空字段表示未公开或未读取。</x:v>
      </x:c>
    </x:row>
    <x:row r="16" ht="115" customHeight="1">
      <x:c r="A16" s="9" t="str">
        <x:v>FLEX-GAD-067</x:v>
      </x:c>
      <x:c r="B16" s="9" t="str">
        <x:v>FLEX-GOOG-067</x:v>
      </x:c>
      <x:c r="C16" s="9" t="str">
        <x:v>FlexiSpot</x:v>
      </x:c>
      <x:c r="D16" s="9" t="str">
        <x:v>Google</x:v>
      </x:c>
      <x:c r="E16" s="9" t="str">
        <x:v>Flexispot GmbH</x:v>
      </x:c>
      <x:c r="F16" s="10" t="d">
        <x:v>2026-07-10T00:00:00.000Z</x:v>
      </x:c>
      <x:c r="G16" s="10" t="d">
        <x:v>2026-10-14T00:00:00.000Z</x:v>
      </x:c>
      <x:c r="H16" s="9" t="str">
        <x:v>未以最后展示日期推断当前状态</x:v>
      </x:c>
      <x:c r="I16" s="9" t="str">
        <x:v>详情日期与德国地区已核验</x:v>
      </x:c>
      <x:c r="J16" s="9" t="str">
        <x:v>FlexiSpot E5 Pro elektrisch höhenverstellbarer Schreibtisch mit Dual-Motor, 3-stufigem Gestell und 140 kg Tragkraft.</x:v>
      </x:c>
      <x:c r="K16" s="9"/>
      <x:c r="L16" s="9"/>
      <x:c r="M16" s="9" t="str">
        <x:v>https://adstransparency.google.com/advertiser/AR05859906800018522113/creative/CR08255880771680600065?region=DE&amp;start-date=2026-09-16&amp;end-date=2026-10-15&amp;format=IMAGE</x:v>
      </x:c>
      <x:c r="N16" s="9" t="str">
        <x:v>短摘录；完整标题/正文需回原平台查看。空字段表示未公开或未读取。</x:v>
      </x:c>
    </x:row>
    <x:row r="17" ht="115" customHeight="1">
      <x:c r="A17" s="9" t="str">
        <x:v>FLEX-GAD-072</x:v>
      </x:c>
      <x:c r="B17" s="9" t="str">
        <x:v>FLEX-GOOG-072</x:v>
      </x:c>
      <x:c r="C17" s="9" t="str">
        <x:v>FlexiSpot</x:v>
      </x:c>
      <x:c r="D17" s="9" t="str">
        <x:v>Google</x:v>
      </x:c>
      <x:c r="E17" s="9" t="str">
        <x:v>Flexispot GmbH</x:v>
      </x:c>
      <x:c r="F17" s="10" t="d">
        <x:v>2026-07-11T00:00:00.000Z</x:v>
      </x:c>
      <x:c r="G17" s="10" t="d">
        <x:v>2026-10-14T00:00:00.000Z</x:v>
      </x:c>
      <x:c r="H17" s="9" t="str">
        <x:v>未以最后展示日期推断当前状态</x:v>
      </x:c>
      <x:c r="I17" s="9" t="str">
        <x:v>详情日期与德国地区已核验</x:v>
      </x:c>
      <x:c r="J17" s="9" t="str">
        <x:v>Schreibtisch</x:v>
      </x:c>
      <x:c r="K17" s="9"/>
      <x:c r="L17" s="9"/>
      <x:c r="M17" s="9" t="str">
        <x:v>https://adstransparency.google.com/advertiser/AR05859906800018522113/creative/CR01571343068328624129?region=DE&amp;start-date=2026-09-16&amp;end-date=2026-10-15&amp;format=IMAGE</x:v>
      </x:c>
      <x:c r="N17" s="9" t="str">
        <x:v>短摘录；完整标题/正文需回原平台查看。空字段表示未公开或未读取。</x:v>
      </x:c>
    </x:row>
    <x:row r="18" ht="115" customHeight="1">
      <x:c r="A18" s="9" t="str">
        <x:v>FLEX-GAD-077</x:v>
      </x:c>
      <x:c r="B18" s="9" t="str">
        <x:v>FLEX-GOOG-077</x:v>
      </x:c>
      <x:c r="C18" s="9" t="str">
        <x:v>FlexiSpot</x:v>
      </x:c>
      <x:c r="D18" s="9" t="str">
        <x:v>Google</x:v>
      </x:c>
      <x:c r="E18" s="9" t="str">
        <x:v>Flexispot GmbH</x:v>
      </x:c>
      <x:c r="F18" s="10" t="d">
        <x:v>2026-10-08T00:00:00.000Z</x:v>
      </x:c>
      <x:c r="G18" s="10" t="d">
        <x:v>2026-10-14T00:00:00.000Z</x:v>
      </x:c>
      <x:c r="H18" s="9" t="str">
        <x:v>未以最后展示日期推断当前状态</x:v>
      </x:c>
      <x:c r="I18" s="9" t="str">
        <x:v>详情日期与德国地区已核验</x:v>
      </x:c>
      <x:c r="J18" s="9" t="str">
        <x:v>Flexispot E5 Pro: Elektrischer Stehschreibtisch mit 140</x:v>
      </x:c>
      <x:c r="K18" s="9"/>
      <x:c r="L18" s="9"/>
      <x:c r="M18" s="9" t="str">
        <x:v>https://adstransparency.google.com/advertiser/AR05859906800018522113/creative/CR06660262591144656897?region=DE&amp;start-date=2026-09-16&amp;end-date=2026-10-15&amp;format=IMAGE</x:v>
      </x:c>
      <x:c r="N18" s="9" t="str">
        <x:v>短摘录；完整标题/正文需回原平台查看。空字段表示未公开或未读取。</x:v>
      </x:c>
    </x:row>
    <x:row r="19" ht="115" customHeight="1">
      <x:c r="A19" s="9" t="str">
        <x:v>FLEX-GAD-090</x:v>
      </x:c>
      <x:c r="B19" s="9" t="str">
        <x:v>FLEX-GOOG-090</x:v>
      </x:c>
      <x:c r="C19" s="9" t="str">
        <x:v>FlexiSpot</x:v>
      </x:c>
      <x:c r="D19" s="9" t="str">
        <x:v>Google</x:v>
      </x:c>
      <x:c r="E19" s="9" t="str">
        <x:v>Flexispot GmbH</x:v>
      </x:c>
      <x:c r="F19" s="10" t="d">
        <x:v>2025-04-16T00:00:00.000Z</x:v>
      </x:c>
      <x:c r="G19" s="10" t="d">
        <x:v>2026-10-14T00:00:00.000Z</x:v>
      </x:c>
      <x:c r="H19" s="9" t="str">
        <x:v>未以最后展示日期推断当前状态</x:v>
      </x:c>
      <x:c r="I19" s="9" t="str">
        <x:v>详情日期与德国地区已核验</x:v>
      </x:c>
      <x:c r="J19" s="9" t="str">
        <x:v>FlexiSpot Q1L Elektrisch Höhenverstellbarer Eckschreibtisch L-Form mit Memory-Funktion, 180 x 120cm, Schwarz</x:v>
      </x:c>
      <x:c r="K19" s="9"/>
      <x:c r="L19" s="9"/>
      <x:c r="M19" s="9" t="str">
        <x:v>https://adstransparency.google.com/advertiser/AR05859906800018522113/creative/CR06509432041312878593?region=DE&amp;start-date=2026-09-16&amp;end-date=2026-10-15&amp;format=IMAGE</x:v>
      </x:c>
      <x:c r="N19" s="9" t="str">
        <x:v>短摘录；完整标题/正文需回原平台查看。空字段表示未公开或未读取。</x:v>
      </x:c>
    </x:row>
    <x:row r="20" ht="115" customHeight="1">
      <x:c r="A20" s="9" t="str">
        <x:v>FLEX-GAD-093</x:v>
      </x:c>
      <x:c r="B20" s="9" t="str">
        <x:v>FLEX-GOOG-057</x:v>
      </x:c>
      <x:c r="C20" s="9" t="str">
        <x:v>FlexiSpot</x:v>
      </x:c>
      <x:c r="D20" s="9" t="str">
        <x:v>Google</x:v>
      </x:c>
      <x:c r="E20" s="9" t="str">
        <x:v>Flexispot GmbH</x:v>
      </x:c>
      <x:c r="F20" s="10" t="d">
        <x:v>2026-09-17T00:00:00.000Z</x:v>
      </x:c>
      <x:c r="G20" s="10" t="d">
        <x:v>2026-10-14T00:00:00.000Z</x:v>
      </x:c>
      <x:c r="H20" s="9" t="str">
        <x:v>未以最后展示日期推断当前状态</x:v>
      </x:c>
      <x:c r="I20" s="9" t="str">
        <x:v>详情日期与德国地区已核验</x:v>
      </x:c>
      <x:c r="J20" s="9" t="str">
        <x:v>FlexiSpot E7 Hive Massivholz-Schreibtisch mit modularem Stauraum, elektrisch höhenverstellbar,140x80cm</x:v>
      </x:c>
      <x:c r="K20" s="9"/>
      <x:c r="L20" s="9"/>
      <x:c r="M20" s="9" t="str">
        <x:v>https://adstransparency.google.com/advertiser/AR05859906800018522113/creative/CR03490351223733747713?region=DE&amp;start-date=2026-09-16&amp;end-date=2026-10-15&amp;format=IMAGE</x:v>
      </x:c>
      <x:c r="N20" s="9" t="str">
        <x:v>短摘录；完整标题/正文需回原平台查看。空字段表示未公开或未读取。</x:v>
      </x:c>
    </x:row>
    <x:row r="21" ht="115" customHeight="1">
      <x:c r="A21" s="9" t="str">
        <x:v>FLEX-GAD-096</x:v>
      </x:c>
      <x:c r="B21" s="9" t="str">
        <x:v>FLEX-GOOG-096</x:v>
      </x:c>
      <x:c r="C21" s="9" t="str">
        <x:v>FlexiSpot</x:v>
      </x:c>
      <x:c r="D21" s="9" t="str">
        <x:v>Google</x:v>
      </x:c>
      <x:c r="E21" s="9" t="str">
        <x:v>Flexispot GmbH</x:v>
      </x:c>
      <x:c r="F21" s="10" t="d">
        <x:v>2026-03-08T00:00:00.000Z</x:v>
      </x:c>
      <x:c r="G21" s="10" t="d">
        <x:v>2026-10-14T00:00:00.000Z</x:v>
      </x:c>
      <x:c r="H21" s="9" t="str">
        <x:v>未以最后展示日期推断当前状态</x:v>
      </x:c>
      <x:c r="I21" s="9" t="str">
        <x:v>详情日期与德国地区已核验</x:v>
      </x:c>
      <x:c r="J21" s="9" t="str">
        <x:v>FlexiSpot E5 Elektrisch höhenverstellbares Tischgestell – Stabil &amp; Flexibel</x:v>
      </x:c>
      <x:c r="K21" s="9"/>
      <x:c r="L21" s="9"/>
      <x:c r="M21" s="9" t="str">
        <x:v>https://adstransparency.google.com/advertiser/AR05859906800018522113/creative/CR17474212578514173953?region=DE&amp;start-date=2026-09-16&amp;end-date=2026-10-15&amp;format=IMAGE</x:v>
      </x:c>
      <x:c r="N21" s="9" t="str">
        <x:v>短摘录；完整标题/正文需回原平台查看。空字段表示未公开或未读取。</x:v>
      </x:c>
    </x:row>
    <x:row r="22" ht="115" customHeight="1">
      <x:c r="A22" s="9" t="str">
        <x:v>FLEX-GAD-121</x:v>
      </x:c>
      <x:c r="B22" s="9" t="str">
        <x:v>FLEX-GOOG-121</x:v>
      </x:c>
      <x:c r="C22" s="9" t="str">
        <x:v>FlexiSpot</x:v>
      </x:c>
      <x:c r="D22" s="9" t="str">
        <x:v>Google</x:v>
      </x:c>
      <x:c r="E22" s="9" t="str">
        <x:v>Flexispot GmbH</x:v>
      </x:c>
      <x:c r="F22" s="10" t="d">
        <x:v>2026-09-29T00:00:00.000Z</x:v>
      </x:c>
      <x:c r="G22" s="10" t="d">
        <x:v>2026-10-13T00:00:00.000Z</x:v>
      </x:c>
      <x:c r="H22" s="9" t="str">
        <x:v>未以最后展示日期推断当前状态</x:v>
      </x:c>
      <x:c r="I22" s="9" t="str">
        <x:v>详情日期与德国地区已核验</x:v>
      </x:c>
      <x:c r="J22" s="9" t="str">
        <x:v>180 kg, 50 mm/s für dein</x:v>
      </x:c>
      <x:c r="K22" s="9"/>
      <x:c r="L22" s="9"/>
      <x:c r="M22" s="9" t="str">
        <x:v>https://adstransparency.google.com/advertiser/AR05859906800018522113/creative/CR01007296730015727617?region=DE&amp;start-date=2026-09-16&amp;end-date=2026-10-15&amp;format=IMAGE</x:v>
      </x:c>
      <x:c r="N22" s="9" t="str">
        <x:v>短摘录；完整标题/正文需回原平台查看。空字段表示未公开或未读取。</x:v>
      </x:c>
    </x:row>
    <x:row r="23" ht="115" customHeight="1">
      <x:c r="A23" s="9" t="str">
        <x:v>FLEX-GAD-127</x:v>
      </x:c>
      <x:c r="B23" s="9" t="str">
        <x:v>FLEX-GOOG-127</x:v>
      </x:c>
      <x:c r="C23" s="9" t="str">
        <x:v>FlexiSpot</x:v>
      </x:c>
      <x:c r="D23" s="9" t="str">
        <x:v>Google</x:v>
      </x:c>
      <x:c r="E23" s="9" t="str">
        <x:v>Flexispot GmbH</x:v>
      </x:c>
      <x:c r="F23" s="10"/>
      <x:c r="G23" s="10"/>
      <x:c r="H23" s="9" t="str">
        <x:v>未以最后展示日期推断当前状态</x:v>
      </x:c>
      <x:c r="I23" s="9" t="str">
        <x:v>德国日期筛选列表已核验；单条首次/最后日期未读取</x:v>
      </x:c>
      <x:c r="J23" s="9"/>
      <x:c r="K23" s="9"/>
      <x:c r="L23" s="9"/>
      <x:c r="M23" s="9" t="str">
        <x:v>https://adstransparency.google.com/advertiser/AR05859906800018522113/creative/CR01207614004701167617?region=DE&amp;start-date=2026-09-16&amp;end-date=2026-10-15&amp;format=IMAGE</x:v>
      </x:c>
      <x:c r="N23" s="9" t="str">
        <x:v>短摘录；完整标题/正文需回原平台查看。空字段表示未公开或未读取。</x:v>
      </x:c>
    </x:row>
    <x:row r="24" ht="115" customHeight="1">
      <x:c r="A24" s="9" t="str">
        <x:v>FLEX-GAD-143</x:v>
      </x:c>
      <x:c r="B24" s="9" t="str">
        <x:v>FLEX-GOOG-143</x:v>
      </x:c>
      <x:c r="C24" s="9" t="str">
        <x:v>FlexiSpot</x:v>
      </x:c>
      <x:c r="D24" s="9" t="str">
        <x:v>Google</x:v>
      </x:c>
      <x:c r="E24" s="9" t="str">
        <x:v>Flexispot GmbH</x:v>
      </x:c>
      <x:c r="F24" s="10" t="d">
        <x:v>2026-10-03T00:00:00.000Z</x:v>
      </x:c>
      <x:c r="G24" s="10" t="d">
        <x:v>2026-10-13T00:00:00.000Z</x:v>
      </x:c>
      <x:c r="H24" s="9" t="str">
        <x:v>未以最后展示日期推断当前状态</x:v>
      </x:c>
      <x:c r="I24" s="9" t="str">
        <x:v>详情日期与德国地区已核验</x:v>
      </x:c>
      <x:c r="J24" s="9" t="str">
        <x:v>FlexiSpot Höhenverstellbarer Schreibtisch mit 0–15° stufenlos neigbarer Tischplatte, 140x78cm</x:v>
      </x:c>
      <x:c r="K24" s="9"/>
      <x:c r="L24" s="9"/>
      <x:c r="M24" s="9" t="str">
        <x:v>https://adstransparency.google.com/advertiser/AR05859906800018522113/creative/CR14924859389067132929?region=DE&amp;start-date=2026-09-16&amp;end-date=2026-10-15&amp;format=IMAGE</x:v>
      </x:c>
      <x:c r="N24" s="9" t="str">
        <x:v>短摘录；完整标题/正文需回原平台查看。空字段表示未公开或未读取。</x:v>
      </x:c>
    </x:row>
    <x:row r="25" ht="115" customHeight="1">
      <x:c r="A25" s="9" t="str">
        <x:v>FLEX-GAD-146</x:v>
      </x:c>
      <x:c r="B25" s="9" t="str">
        <x:v>FLEX-GOOG-146</x:v>
      </x:c>
      <x:c r="C25" s="9" t="str">
        <x:v>FlexiSpot</x:v>
      </x:c>
      <x:c r="D25" s="9" t="str">
        <x:v>Google</x:v>
      </x:c>
      <x:c r="E25" s="9" t="str">
        <x:v>Flexispot GmbH</x:v>
      </x:c>
      <x:c r="F25" s="10"/>
      <x:c r="G25" s="10"/>
      <x:c r="H25" s="9" t="str">
        <x:v>未以最后展示日期推断当前状态</x:v>
      </x:c>
      <x:c r="I25" s="9" t="str">
        <x:v>德国日期筛选列表已核验；单条首次/最后日期未读取</x:v>
      </x:c>
      <x:c r="J25" s="9"/>
      <x:c r="K25" s="9"/>
      <x:c r="L25" s="9"/>
      <x:c r="M25" s="9" t="str">
        <x:v>https://adstransparency.google.com/advertiser/AR05859906800018522113/creative/CR06967885053875453953?region=DE&amp;start-date=2026-09-16&amp;end-date=2026-10-15&amp;format=IMAGE</x:v>
      </x:c>
      <x:c r="N25" s="9" t="str">
        <x:v>短摘录；完整标题/正文需回原平台查看。空字段表示未公开或未读取。</x:v>
      </x:c>
    </x:row>
    <x:row r="26" ht="115" customHeight="1">
      <x:c r="A26" s="9" t="str">
        <x:v>FLEX-GAD-149</x:v>
      </x:c>
      <x:c r="B26" s="9" t="str">
        <x:v>FLEX-GOOG-149</x:v>
      </x:c>
      <x:c r="C26" s="9" t="str">
        <x:v>FlexiSpot</x:v>
      </x:c>
      <x:c r="D26" s="9" t="str">
        <x:v>Google</x:v>
      </x:c>
      <x:c r="E26" s="9" t="str">
        <x:v>Flexispot GmbH</x:v>
      </x:c>
      <x:c r="F26" s="10" t="d">
        <x:v>2026-10-09T00:00:00.000Z</x:v>
      </x:c>
      <x:c r="G26" s="10" t="d">
        <x:v>2026-10-13T00:00:00.000Z</x:v>
      </x:c>
      <x:c r="H26" s="9" t="str">
        <x:v>未以最后展示日期推断当前状态</x:v>
      </x:c>
      <x:c r="I26" s="9" t="str">
        <x:v>详情日期与德国地区已核验</x:v>
      </x:c>
      <x:c r="J26" s="9" t="str">
        <x:v>FlexiSpot E7 Plus Höhenverstellbares Tischgestell für Chefschreibtisch, passend für 200×80 cm Tischplatten, bis 200 kg, Schwarz/Weiß</x:v>
      </x:c>
      <x:c r="K26" s="9"/>
      <x:c r="L26" s="9"/>
      <x:c r="M26" s="9" t="str">
        <x:v>https://adstransparency.google.com/advertiser/AR05859906800018522113/creative/CR15402972124800876545?region=DE&amp;start-date=2026-09-16&amp;end-date=2026-10-15&amp;format=IMAGE</x:v>
      </x:c>
      <x:c r="N26" s="9" t="str">
        <x:v>短摘录；完整标题/正文需回原平台查看。空字段表示未公开或未读取。</x:v>
      </x:c>
    </x:row>
    <x:row r="27" ht="115" customHeight="1">
      <x:c r="A27" s="9" t="str">
        <x:v>FLEX-GAD-151</x:v>
      </x:c>
      <x:c r="B27" s="9" t="str">
        <x:v>FLEX-GOOG-151</x:v>
      </x:c>
      <x:c r="C27" s="9" t="str">
        <x:v>FlexiSpot</x:v>
      </x:c>
      <x:c r="D27" s="9" t="str">
        <x:v>Google</x:v>
      </x:c>
      <x:c r="E27" s="9" t="str">
        <x:v>Flexispot GmbH</x:v>
      </x:c>
      <x:c r="F27" s="10"/>
      <x:c r="G27" s="10"/>
      <x:c r="H27" s="9" t="str">
        <x:v>未以最后展示日期推断当前状态</x:v>
      </x:c>
      <x:c r="I27" s="9" t="str">
        <x:v>德国日期筛选列表已核验；单条首次/最后日期未读取</x:v>
      </x:c>
      <x:c r="J27" s="9"/>
      <x:c r="K27" s="9"/>
      <x:c r="L27" s="9"/>
      <x:c r="M27" s="9" t="str">
        <x:v>https://adstransparency.google.com/advertiser/AR05859906800018522113/creative/CR14890043387733344257?region=DE&amp;start-date=2026-09-16&amp;end-date=2026-10-15&amp;format=IMAGE</x:v>
      </x:c>
      <x:c r="N27" s="9" t="str">
        <x:v>短摘录；完整标题/正文需回原平台查看。空字段表示未公开或未读取。</x:v>
      </x:c>
    </x:row>
    <x:row r="28" ht="115" customHeight="1">
      <x:c r="A28" s="9" t="str">
        <x:v>DESK-GAD-002</x:v>
      </x:c>
      <x:c r="B28" s="9" t="str">
        <x:v>DESK-GOOG-002</x:v>
      </x:c>
      <x:c r="C28" s="9" t="str">
        <x:v>Desktronic</x:v>
      </x:c>
      <x:c r="D28" s="9" t="str">
        <x:v>Google</x:v>
      </x:c>
      <x:c r="E28" s="9" t="str">
        <x:v>Kelkoo Deutschland Gmbh（第三方）</x:v>
      </x:c>
      <x:c r="F28" s="10" t="d">
        <x:v>2026-04-02T00:00:00.000Z</x:v>
      </x:c>
      <x:c r="G28" s="10" t="d">
        <x:v>2026-10-14T00:00:00.000Z</x:v>
      </x:c>
      <x:c r="H28" s="9" t="str">
        <x:v>未以最后展示日期推断当前状态</x:v>
      </x:c>
      <x:c r="I28" s="9" t="str">
        <x:v>详情日期与德国地区已核验</x:v>
      </x:c>
      <x:c r="J28" s="9" t="str">
        <x:v>Desktronic HomeOne - Elektrisch höhenverstellbarer Schreibtisch - 120x60 cm Rosa - mit 2 Motoren</x:v>
      </x:c>
      <x:c r="K28" s="9"/>
      <x:c r="L28" s="9"/>
      <x:c r="M28" s="9" t="str">
        <x:v>https://adstransparency.google.com/advertiser/AR09286273997568212993/creative/CR08236498374547734529?region=DE&amp;start-date=2026-09-16&amp;end-date=2026-10-15&amp;format=IMAGE</x:v>
      </x:c>
      <x:c r="N28" s="9" t="str">
        <x:v>短摘录；完整标题/正文需回原平台查看。空字段表示未公开或未读取。</x:v>
      </x:c>
    </x:row>
    <x:row r="29" ht="115" customHeight="1">
      <x:c r="A29" s="9" t="str">
        <x:v>DESK-GAD-006</x:v>
      </x:c>
      <x:c r="B29" s="9" t="str">
        <x:v>DESK-GOOG-006</x:v>
      </x:c>
      <x:c r="C29" s="9" t="str">
        <x:v>Desktronic</x:v>
      </x:c>
      <x:c r="D29" s="9" t="str">
        <x:v>Google</x:v>
      </x:c>
      <x:c r="E29" s="9" t="str">
        <x:v>UAB Desktronic</x:v>
      </x:c>
      <x:c r="F29" s="10" t="d">
        <x:v>2025-12-09T00:00:00.000Z</x:v>
      </x:c>
      <x:c r="G29" s="10" t="d">
        <x:v>2026-10-14T00:00:00.000Z</x:v>
      </x:c>
      <x:c r="H29" s="9" t="str">
        <x:v>未以最后展示日期推断当前状态</x:v>
      </x:c>
      <x:c r="I29" s="9" t="str">
        <x:v>详情日期与德国地区已核验</x:v>
      </x:c>
      <x:c r="J29" s="9" t="str">
        <x:v>Desktronic HomeOne -</x:v>
      </x:c>
      <x:c r="K29" s="9"/>
      <x:c r="L29" s="9"/>
      <x:c r="M29" s="9" t="str">
        <x:v>https://adstransparency.google.com/advertiser/AR02313082571728093185/creative/CR03295019727474130945?region=DE&amp;start-date=2026-09-16&amp;end-date=2026-10-15&amp;format=IMAGE</x:v>
      </x:c>
      <x:c r="N29" s="9" t="str">
        <x:v>短摘录；完整标题/正文需回原平台查看。空字段表示未公开或未读取。</x:v>
      </x:c>
    </x:row>
    <x:row r="30" ht="115" customHeight="1">
      <x:c r="A30" s="9" t="str">
        <x:v>DESK-GAD-008</x:v>
      </x:c>
      <x:c r="B30" s="9" t="str">
        <x:v>DESK-GOOG-008</x:v>
      </x:c>
      <x:c r="C30" s="9" t="str">
        <x:v>Desktronic</x:v>
      </x:c>
      <x:c r="D30" s="9" t="str">
        <x:v>Google</x:v>
      </x:c>
      <x:c r="E30" s="9" t="str">
        <x:v>UAB Desktronic</x:v>
      </x:c>
      <x:c r="F30" s="10" t="d">
        <x:v>2025-12-09T00:00:00.000Z</x:v>
      </x:c>
      <x:c r="G30" s="10" t="d">
        <x:v>2026-10-14T00:00:00.000Z</x:v>
      </x:c>
      <x:c r="H30" s="9" t="str">
        <x:v>未以最后展示日期推断当前状态</x:v>
      </x:c>
      <x:c r="I30" s="9" t="str">
        <x:v>详情日期与德国地区已核验</x:v>
      </x:c>
      <x:c r="J30" s="9"/>
      <x:c r="K30" s="9"/>
      <x:c r="L30" s="9"/>
      <x:c r="M30" s="9" t="str">
        <x:v>https://adstransparency.google.com/advertiser/AR02313082571728093185/creative/CR12382245836531171329?region=DE&amp;start-date=2026-09-16&amp;end-date=2026-10-15&amp;format=IMAGE</x:v>
      </x:c>
      <x:c r="N30" s="9" t="str">
        <x:v>短摘录；完整标题/正文需回原平台查看。空字段表示未公开或未读取。</x:v>
      </x:c>
    </x:row>
    <x:row r="31" ht="115" customHeight="1">
      <x:c r="A31" s="9" t="str">
        <x:v>DESK-GAD-011</x:v>
      </x:c>
      <x:c r="B31" s="9" t="str">
        <x:v>DESK-GOOG-011</x:v>
      </x:c>
      <x:c r="C31" s="9" t="str">
        <x:v>Desktronic</x:v>
      </x:c>
      <x:c r="D31" s="9" t="str">
        <x:v>Google</x:v>
      </x:c>
      <x:c r="E31" s="9" t="str">
        <x:v>UAB Desktronic</x:v>
      </x:c>
      <x:c r="F31" s="10" t="d">
        <x:v>2026-09-16T00:00:00.000Z</x:v>
      </x:c>
      <x:c r="G31" s="10" t="d">
        <x:v>2026-10-14T00:00:00.000Z</x:v>
      </x:c>
      <x:c r="H31" s="9" t="str">
        <x:v>未以最后展示日期推断当前状态</x:v>
      </x:c>
      <x:c r="I31" s="9" t="str">
        <x:v>详情日期与德国地区已核验</x:v>
      </x:c>
      <x:c r="J31" s="9" t="str">
        <x:v>Desktronic HomePro - Weiß / Walnuss / 200x80 cm - premium elektrisch höhenverstellbarer Schreibtisch mit 2 Motoren</x:v>
      </x:c>
      <x:c r="K31" s="9"/>
      <x:c r="L31" s="9"/>
      <x:c r="M31" s="9" t="str">
        <x:v>https://adstransparency.google.com/advertiser/AR02313082571728093185/creative/CR03804415725091684353?region=DE&amp;start-date=2026-09-16&amp;end-date=2026-10-15&amp;format=IMAGE</x:v>
      </x:c>
      <x:c r="N31" s="9" t="str">
        <x:v>短摘录；完整标题/正文需回原平台查看。空字段表示未公开或未读取。</x:v>
      </x:c>
    </x:row>
    <x:row r="32" ht="115" customHeight="1">
      <x:c r="A32" s="9" t="str">
        <x:v>DESK-GAD-014</x:v>
      </x:c>
      <x:c r="B32" s="9" t="str">
        <x:v>DESK-GOOG-014</x:v>
      </x:c>
      <x:c r="C32" s="9" t="str">
        <x:v>Desktronic</x:v>
      </x:c>
      <x:c r="D32" s="9" t="str">
        <x:v>Google</x:v>
      </x:c>
      <x:c r="E32" s="9" t="str">
        <x:v>UAB Desktronic</x:v>
      </x:c>
      <x:c r="F32" s="10" t="d">
        <x:v>2026-02-22T00:00:00.000Z</x:v>
      </x:c>
      <x:c r="G32" s="10" t="d">
        <x:v>2026-10-13T00:00:00.000Z</x:v>
      </x:c>
      <x:c r="H32" s="9" t="str">
        <x:v>未以最后展示日期推断当前状态</x:v>
      </x:c>
      <x:c r="I32" s="9" t="str">
        <x:v>详情日期与德国地区已核验</x:v>
      </x:c>
      <x:c r="J32" s="9" t="str">
        <x:v>Desktronic HomeOne - Olivgrün / Gedecktes Rosa / 120x60 cm - elektrisch höhenverstellbarer Schreibtisch mit 2 Motoren</x:v>
      </x:c>
      <x:c r="K32" s="9"/>
      <x:c r="L32" s="9"/>
      <x:c r="M32" s="9" t="str">
        <x:v>https://adstransparency.google.com/advertiser/AR02313082571728093185/creative/CR10260902828373442561?region=DE&amp;start-date=2026-09-16&amp;end-date=2026-10-15&amp;format=IMAGE</x:v>
      </x:c>
      <x:c r="N32" s="9" t="str">
        <x:v>短摘录；完整标题/正文需回原平台查看。空字段表示未公开或未读取。</x:v>
      </x:c>
    </x:row>
    <x:row r="33" ht="115" customHeight="1">
      <x:c r="A33" s="9" t="str">
        <x:v>DESK-GAD-031</x:v>
      </x:c>
      <x:c r="B33" s="9" t="str">
        <x:v>DESK-GOOG-031</x:v>
      </x:c>
      <x:c r="C33" s="9" t="str">
        <x:v>Desktronic</x:v>
      </x:c>
      <x:c r="D33" s="9" t="str">
        <x:v>Google</x:v>
      </x:c>
      <x:c r="E33" s="9" t="str">
        <x:v>Kelkoo Deutschland Gmbh（第三方）</x:v>
      </x:c>
      <x:c r="F33" s="10" t="d">
        <x:v>2026-05-15T00:00:00.000Z</x:v>
      </x:c>
      <x:c r="G33" s="10" t="d">
        <x:v>2026-10-04T00:00:00.000Z</x:v>
      </x:c>
      <x:c r="H33" s="9" t="str">
        <x:v>未以最后展示日期推断当前状态</x:v>
      </x:c>
      <x:c r="I33" s="9" t="str">
        <x:v>详情日期与德国地区已核验</x:v>
      </x:c>
      <x:c r="J33" s="9" t="str">
        <x:v>Desktronic HomeOne Schreibtischgestell - Olivgrün</x:v>
      </x:c>
      <x:c r="K33" s="9"/>
      <x:c r="L33" s="9"/>
      <x:c r="M33" s="9" t="str">
        <x:v>https://adstransparency.google.com/advertiser/AR09286273997568212993/creative/CR08479722372520214529?region=DE&amp;start-date=2026-09-16&amp;end-date=2026-10-15&amp;format=IMAGE</x:v>
      </x:c>
      <x:c r="N33" s="9" t="str">
        <x:v>短摘录；完整标题/正文需回原平台查看。空字段表示未公开或未读取。</x:v>
      </x:c>
    </x:row>
    <x:row r="34" ht="115" customHeight="1">
      <x:c r="A34" s="9" t="str">
        <x:v>SONG-GAD-003</x:v>
      </x:c>
      <x:c r="B34" s="9" t="str">
        <x:v>SONG-GOOG-003</x:v>
      </x:c>
      <x:c r="C34" s="9" t="str">
        <x:v>SONGMICS</x:v>
      </x:c>
      <x:c r="D34" s="9" t="str">
        <x:v>Google</x:v>
      </x:c>
      <x:c r="E34" s="9" t="str">
        <x:v>Pashion.dk ApS / Zoliro（第三方）</x:v>
      </x:c>
      <x:c r="F34" s="10" t="d">
        <x:v>2026-08-22T00:00:00.000Z</x:v>
      </x:c>
      <x:c r="G34" s="10" t="d">
        <x:v>2026-10-14T00:00:00.000Z</x:v>
      </x:c>
      <x:c r="H34" s="9" t="str">
        <x:v>未以最后展示日期推断当前状态</x:v>
      </x:c>
      <x:c r="I34" s="9" t="str">
        <x:v>详情日期与德国地区已核验</x:v>
      </x:c>
      <x:c r="J34" s="9" t="str">
        <x:v>Höhenverstellbarer Schreibtisch elektrisch 70 x 160 x (72-120) cm | SONGMICS</x:v>
      </x:c>
      <x:c r="K34" s="9"/>
      <x:c r="L34" s="9"/>
      <x:c r="M34" s="9" t="str">
        <x:v>https://adstransparency.google.com/advertiser/AR14700497126522093569/creative/CR01541967141291425793?region=DE&amp;start-date=2026-09-16&amp;end-date=2026-10-15&amp;format=IMAGE</x:v>
      </x:c>
      <x:c r="N34" s="9" t="str">
        <x:v>短摘录；完整标题/正文需回原平台查看。空字段表示未公开或未读取。</x:v>
      </x:c>
    </x:row>
    <x:row r="35" ht="115" customHeight="1">
      <x:c r="A35" s="9" t="str">
        <x:v>SONG-GAD-024</x:v>
      </x:c>
      <x:c r="B35" s="9" t="str">
        <x:v>SONG-GOOG-024</x:v>
      </x:c>
      <x:c r="C35" s="9" t="str">
        <x:v>SONGMICS</x:v>
      </x:c>
      <x:c r="D35" s="9" t="str">
        <x:v>Google</x:v>
      </x:c>
      <x:c r="E35" s="9" t="str">
        <x:v>EUZIEL International GmbH</x:v>
      </x:c>
      <x:c r="F35" s="10" t="d">
        <x:v>2025-01-20T00:00:00.000Z</x:v>
      </x:c>
      <x:c r="G35" s="10" t="d">
        <x:v>2026-10-14T00:00:00.000Z</x:v>
      </x:c>
      <x:c r="H35" s="9" t="str">
        <x:v>未以最后展示日期推断当前状态</x:v>
      </x:c>
      <x:c r="I35" s="9" t="str">
        <x:v>详情日期与德国地区已核验</x:v>
      </x:c>
      <x:c r="J35" s="9" t="str">
        <x:v>VASAGLE Höhenverstellbarer Schreibtisch elektrisch, 60 x 120 x (72-120) cm, stufenlos verstellbar, mit Monitorständer, Haken, Me</x:v>
      </x:c>
      <x:c r="K35" s="9"/>
      <x:c r="L35" s="9"/>
      <x:c r="M35" s="9" t="str">
        <x:v>https://adstransparency.google.com/advertiser/AR17451452069343920129/creative/CR17025140015044231169?region=DE&amp;start-date=2026-09-16&amp;end-date=2026-10-15&amp;format=IMAGE</x:v>
      </x:c>
      <x:c r="N35" s="9" t="str">
        <x:v>短摘录；完整标题/正文需回原平台查看。空字段表示未公开或未读取。</x:v>
      </x:c>
    </x:row>
    <x:row r="36" ht="115" customHeight="1">
      <x:c r="A36" s="9" t="str">
        <x:v>SONG-GAD-027</x:v>
      </x:c>
      <x:c r="B36" s="9" t="str">
        <x:v>SONG-GOOG-027</x:v>
      </x:c>
      <x:c r="C36" s="9" t="str">
        <x:v>SONGMICS</x:v>
      </x:c>
      <x:c r="D36" s="9" t="str">
        <x:v>Google</x:v>
      </x:c>
      <x:c r="E36" s="9" t="str">
        <x:v>EUZIEL International GmbH</x:v>
      </x:c>
      <x:c r="F36" s="10" t="d">
        <x:v>2025-02-27T00:00:00.000Z</x:v>
      </x:c>
      <x:c r="G36" s="10" t="d">
        <x:v>2026-10-13T00:00:00.000Z</x:v>
      </x:c>
      <x:c r="H36" s="9" t="str">
        <x:v>未以最后展示日期推断当前状态</x:v>
      </x:c>
      <x:c r="I36" s="9" t="str">
        <x:v>详情日期与德国地区已核验</x:v>
      </x:c>
      <x:c r="J36" s="9" t="str">
        <x:v>SONGMICS Höhenverstellbarer Schreibtisch elektrisch,180 x 80 cm, Vintagebraun,Memory-Funktion für 4 Höhen, für Büro</x:v>
      </x:c>
      <x:c r="K36" s="9"/>
      <x:c r="L36" s="9"/>
      <x:c r="M36" s="9" t="str">
        <x:v>https://adstransparency.google.com/advertiser/AR10991278398063509505/creative/CR01649883803830714369?region=DE&amp;start-date=2026-09-16&amp;end-date=2026-10-15&amp;format=IMAGE</x:v>
      </x:c>
      <x:c r="N36" s="9" t="str">
        <x:v>短摘录；完整标题/正文需回原平台查看。空字段表示未公开或未读取。</x:v>
      </x:c>
    </x:row>
    <x:row r="37" ht="115" customHeight="1">
      <x:c r="A37" s="9" t="str">
        <x:v>SONG-GAD-074</x:v>
      </x:c>
      <x:c r="B37" s="9" t="str">
        <x:v>SONG-GOOG-074</x:v>
      </x:c>
      <x:c r="C37" s="9" t="str">
        <x:v>SONGMICS</x:v>
      </x:c>
      <x:c r="D37" s="9" t="str">
        <x:v>Google</x:v>
      </x:c>
      <x:c r="E37" s="9" t="str">
        <x:v>EUZIEL International GmbH</x:v>
      </x:c>
      <x:c r="F37" s="10" t="d">
        <x:v>2026-07-06T00:00:00.000Z</x:v>
      </x:c>
      <x:c r="G37" s="10" t="d">
        <x:v>2026-09-28T00:00:00.000Z</x:v>
      </x:c>
      <x:c r="H37" s="9" t="str">
        <x:v>未以最后展示日期推断当前状态</x:v>
      </x:c>
      <x:c r="I37" s="9" t="str">
        <x:v>详情日期与德国地区已核验</x:v>
      </x:c>
      <x:c r="J37" s="9" t="str">
        <x:v>VASAGLE Höhenverstellbarer Schreibtisch elektrisch, Tischgestell, Schreibtischständer, ohne Tischplatte, Memory-Funktion3 Höhen,59.6x(90-140)x(72-120)</x:v>
      </x:c>
      <x:c r="K37" s="9"/>
      <x:c r="L37" s="9"/>
      <x:c r="M37" s="9" t="str">
        <x:v>https://adstransparency.google.com/advertiser/AR10991278398063509505/creative/CR08718003309811597313?region=DE&amp;start-date=2026-09-16&amp;end-date=2026-10-15&amp;format=IMAGE</x:v>
      </x:c>
      <x:c r="N37" s="9" t="str">
        <x:v>短摘录；完整标题/正文需回原平台查看。空字段表示未公开或未读取。</x:v>
      </x:c>
    </x:row>
    <x:row r="38" ht="115" customHeight="1">
      <x:c r="A38" s="9" t="str">
        <x:v>ERGO-GAD-002</x:v>
      </x:c>
      <x:c r="B38" s="9" t="str">
        <x:v>ERGO-GOOG-002</x:v>
      </x:c>
      <x:c r="C38" s="9" t="str">
        <x:v>Ergotopia</x:v>
      </x:c>
      <x:c r="D38" s="9" t="str">
        <x:v>Google</x:v>
      </x:c>
      <x:c r="E38" s="9" t="str">
        <x:v>Ergotopia GmbH</x:v>
      </x:c>
      <x:c r="F38" s="10" t="d">
        <x:v>2024-10-15T00:00:00.000Z</x:v>
      </x:c>
      <x:c r="G38" s="10" t="d">
        <x:v>2026-10-14T00:00:00.000Z</x:v>
      </x:c>
      <x:c r="H38" s="9" t="str">
        <x:v>未以最后展示日期推断当前状态</x:v>
      </x:c>
      <x:c r="I38" s="9" t="str">
        <x:v>详情日期与德国地区已核验</x:v>
      </x:c>
      <x:c r="J38" s="9"/>
      <x:c r="K38" s="9"/>
      <x:c r="L38" s="9"/>
      <x:c r="M38" s="9" t="str">
        <x:v>https://adstransparency.google.com/advertiser/AR17237286746354352129/creative/CR09998335886837678081?region=DE&amp;start-date=2026-09-16&amp;end-date=2026-10-15&amp;format=IMAGE</x:v>
      </x:c>
      <x:c r="N38" s="9" t="str">
        <x:v>短摘录；完整标题/正文需回原平台查看。空字段表示未公开或未读取。</x:v>
      </x:c>
    </x:row>
    <x:row r="39" ht="115" customHeight="1">
      <x:c r="A39" s="9" t="str">
        <x:v>ERGO-GAD-007</x:v>
      </x:c>
      <x:c r="B39" s="9" t="str">
        <x:v>ERGO-GOOG-007</x:v>
      </x:c>
      <x:c r="C39" s="9" t="str">
        <x:v>Ergotopia</x:v>
      </x:c>
      <x:c r="D39" s="9" t="str">
        <x:v>Google</x:v>
      </x:c>
      <x:c r="E39" s="9" t="str">
        <x:v>Ergotopia GmbH</x:v>
      </x:c>
      <x:c r="F39" s="10" t="d">
        <x:v>2026-04-24T00:00:00.000Z</x:v>
      </x:c>
      <x:c r="G39" s="10" t="d">
        <x:v>2026-10-14T00:00:00.000Z</x:v>
      </x:c>
      <x:c r="H39" s="9" t="str">
        <x:v>未以最后展示日期推断当前状态</x:v>
      </x:c>
      <x:c r="I39" s="9" t="str">
        <x:v>详情日期与德国地区已核验</x:v>
      </x:c>
      <x:c r="J39" s="9" t="str">
        <x:v>Ergotopia Desktopia Pro X I Elektrisch höhenverstellbarer Schreibtisch I 140x80 cm I Nussbaum Dekor rund I Gestell Schwarz</x:v>
      </x:c>
      <x:c r="K39" s="9"/>
      <x:c r="L39" s="9"/>
      <x:c r="M39" s="9" t="str">
        <x:v>https://adstransparency.google.com/advertiser/AR17237286746354352129/creative/CR17455645263094874113?region=DE&amp;start-date=2026-09-16&amp;end-date=2026-10-15&amp;format=IMAGE</x:v>
      </x:c>
      <x:c r="N39" s="9" t="str">
        <x:v>短摘录；完整标题/正文需回原平台查看。空字段表示未公开或未读取。</x:v>
      </x:c>
    </x:row>
    <x:row r="40" ht="115" customHeight="1">
      <x:c r="A40" s="9" t="str">
        <x:v>ERGO-GAD-010</x:v>
      </x:c>
      <x:c r="B40" s="9" t="str">
        <x:v>ERGO-GOOG-002</x:v>
      </x:c>
      <x:c r="C40" s="9" t="str">
        <x:v>Ergotopia</x:v>
      </x:c>
      <x:c r="D40" s="9" t="str">
        <x:v>Google</x:v>
      </x:c>
      <x:c r="E40" s="9" t="str">
        <x:v>Ergotopia GmbH</x:v>
      </x:c>
      <x:c r="F40" s="10" t="d">
        <x:v>2025-12-01T00:00:00.000Z</x:v>
      </x:c>
      <x:c r="G40" s="10" t="d">
        <x:v>2026-10-14T00:00:00.000Z</x:v>
      </x:c>
      <x:c r="H40" s="9" t="str">
        <x:v>未以最后展示日期推断当前状态</x:v>
      </x:c>
      <x:c r="I40" s="9" t="str">
        <x:v>详情日期与德国地区已核验</x:v>
      </x:c>
      <x:c r="J40" s="9"/>
      <x:c r="K40" s="9"/>
      <x:c r="L40" s="9"/>
      <x:c r="M40" s="9" t="str">
        <x:v>https://adstransparency.google.com/advertiser/AR17237286746354352129/creative/CR08531967772047966209?region=DE&amp;start-date=2026-09-16&amp;end-date=2026-10-15&amp;format=IMAGE</x:v>
      </x:c>
      <x:c r="N40" s="9" t="str">
        <x:v>短摘录；完整标题/正文需回原平台查看。空字段表示未公开或未读取。</x:v>
      </x:c>
    </x:row>
    <x:row r="41" ht="115" customHeight="1">
      <x:c r="A41" s="9" t="str">
        <x:v>ERGO-GAD-017</x:v>
      </x:c>
      <x:c r="B41" s="9" t="str">
        <x:v>ERGO-GOOG-017</x:v>
      </x:c>
      <x:c r="C41" s="9" t="str">
        <x:v>Ergotopia</x:v>
      </x:c>
      <x:c r="D41" s="9" t="str">
        <x:v>Google</x:v>
      </x:c>
      <x:c r="E41" s="9" t="str">
        <x:v>Ergotopia GmbH</x:v>
      </x:c>
      <x:c r="F41" s="10" t="d">
        <x:v>2026-04-24T00:00:00.000Z</x:v>
      </x:c>
      <x:c r="G41" s="10" t="d">
        <x:v>2026-10-14T00:00:00.000Z</x:v>
      </x:c>
      <x:c r="H41" s="9" t="str">
        <x:v>未以最后展示日期推断当前状态</x:v>
      </x:c>
      <x:c r="I41" s="9" t="str">
        <x:v>详情日期与德国地区已核验</x:v>
      </x:c>
      <x:c r="J41" s="9" t="str">
        <x:v>Ergotopia Desktopia Pro X I Elektrisch höhenverstellbarer Schreibtisch I 160x80 cm I Schwarz Dekor eckig I Gestell Schwarz</x:v>
      </x:c>
      <x:c r="K41" s="9"/>
      <x:c r="L41" s="9"/>
      <x:c r="M41" s="9" t="str">
        <x:v>https://adstransparency.google.com/advertiser/AR17237286746354352129/creative/CR15625494964522188801?region=DE&amp;start-date=2026-09-16&amp;end-date=2026-10-15&amp;format=IMAGE</x:v>
      </x:c>
      <x:c r="N41" s="9" t="str">
        <x:v>短摘录；完整标题/正文需回原平台查看。空字段表示未公开或未读取。</x:v>
      </x:c>
    </x:row>
    <x:row r="42" ht="115" customHeight="1">
      <x:c r="A42" s="9" t="str">
        <x:v>ERGO-GAD-026</x:v>
      </x:c>
      <x:c r="B42" s="9" t="str">
        <x:v>ERGO-GOOG-026</x:v>
      </x:c>
      <x:c r="C42" s="9" t="str">
        <x:v>Ergotopia</x:v>
      </x:c>
      <x:c r="D42" s="9" t="str">
        <x:v>Google</x:v>
      </x:c>
      <x:c r="E42" s="9" t="str">
        <x:v>Ergotopia GmbH</x:v>
      </x:c>
      <x:c r="F42" s="10" t="d">
        <x:v>2025-01-22T00:00:00.000Z</x:v>
      </x:c>
      <x:c r="G42" s="10" t="d">
        <x:v>2026-10-14T00:00:00.000Z</x:v>
      </x:c>
      <x:c r="H42" s="9" t="str">
        <x:v>未以最后展示日期推断当前状态</x:v>
      </x:c>
      <x:c r="I42" s="9" t="str">
        <x:v>详情日期与德国地区已核验</x:v>
      </x:c>
      <x:c r="J42" s="9" t="str">
        <x:v>Ergotopia Desktopia One I</x:v>
      </x:c>
      <x:c r="K42" s="9"/>
      <x:c r="L42" s="9"/>
      <x:c r="M42" s="9" t="str">
        <x:v>https://adstransparency.google.com/advertiser/AR17237286746354352129/creative/CR03744908721277370369?region=DE&amp;start-date=2026-09-16&amp;end-date=2026-10-15&amp;format=IMAGE</x:v>
      </x:c>
      <x:c r="N42" s="9" t="str">
        <x:v>短摘录；完整标题/正文需回原平台查看。空字段表示未公开或未读取。</x:v>
      </x:c>
    </x:row>
    <x:row r="43" ht="115" customHeight="1">
      <x:c r="A43" s="9" t="str">
        <x:v>ERGO-GAD-037</x:v>
      </x:c>
      <x:c r="B43" s="9" t="str">
        <x:v>ERGO-GOOG-037</x:v>
      </x:c>
      <x:c r="C43" s="9" t="str">
        <x:v>Ergotopia</x:v>
      </x:c>
      <x:c r="D43" s="9" t="str">
        <x:v>Google</x:v>
      </x:c>
      <x:c r="E43" s="9" t="str">
        <x:v>Ergotopia GmbH</x:v>
      </x:c>
      <x:c r="F43" s="10"/>
      <x:c r="G43" s="10"/>
      <x:c r="H43" s="9" t="str">
        <x:v>未以最后展示日期推断当前状态</x:v>
      </x:c>
      <x:c r="I43" s="9" t="str">
        <x:v>德国日期筛选列表已核验；单条首次/最后日期未读取</x:v>
      </x:c>
      <x:c r="J43" s="9" t="str">
        <x:v>Ergotopia Desktopia One I Elektrisch höhenverstellbarer Schreibtisch I 160x80 cm I Schwarz Dekor eckig I Gestell Schwarz</x:v>
      </x:c>
      <x:c r="K43" s="9"/>
      <x:c r="L43" s="9"/>
      <x:c r="M43" s="9" t="str">
        <x:v>https://adstransparency.google.com/advertiser/AR17237286746354352129/creative/CR09979142811863220225?region=DE&amp;start-date=2026-09-16&amp;end-date=2026-10-15&amp;format=IMAGE</x:v>
      </x:c>
      <x:c r="N43" s="9" t="str">
        <x:v>短摘录；完整标题/正文需回原平台查看。空字段表示未公开或未读取。</x:v>
      </x:c>
    </x:row>
    <x:row r="44" ht="115" customHeight="1">
      <x:c r="A44" s="9" t="str">
        <x:v>ERGO-GAD-040</x:v>
      </x:c>
      <x:c r="B44" s="9" t="str">
        <x:v>ERGO-GOOG-040</x:v>
      </x:c>
      <x:c r="C44" s="9" t="str">
        <x:v>Ergotopia</x:v>
      </x:c>
      <x:c r="D44" s="9" t="str">
        <x:v>Google</x:v>
      </x:c>
      <x:c r="E44" s="9" t="str">
        <x:v>Ergotopia GmbH</x:v>
      </x:c>
      <x:c r="F44" s="10"/>
      <x:c r="G44" s="10"/>
      <x:c r="H44" s="9" t="str">
        <x:v>未以最后展示日期推断当前状态</x:v>
      </x:c>
      <x:c r="I44" s="9" t="str">
        <x:v>德国日期筛选列表已核验；单条首次/最后日期未读取</x:v>
      </x:c>
      <x:c r="J44" s="9" t="str">
        <x:v>Ergotopia Desktopia Pro X I Elektrisch höhenverstellbarer Schreibtisch I 160x80 cm I Weiß Dekor eckig I Gestell Grau</x:v>
      </x:c>
      <x:c r="K44" s="9"/>
      <x:c r="L44" s="9"/>
      <x:c r="M44" s="9" t="str">
        <x:v>https://adstransparency.google.com/advertiser/AR17237286746354352129/creative/CR01121161767641153537?region=DE&amp;start-date=2026-09-16&amp;end-date=2026-10-15&amp;format=IMAGE</x:v>
      </x:c>
      <x:c r="N44" s="9" t="str">
        <x:v>短摘录；完整标题/正文需回原平台查看。空字段表示未公开或未读取。</x:v>
      </x:c>
    </x:row>
    <x:row r="45" ht="115" customHeight="1">
      <x:c r="A45" s="9" t="str">
        <x:v>ERGO-GAD-043</x:v>
      </x:c>
      <x:c r="B45" s="9" t="str">
        <x:v>ERGO-GOOG-043</x:v>
      </x:c>
      <x:c r="C45" s="9" t="str">
        <x:v>Ergotopia</x:v>
      </x:c>
      <x:c r="D45" s="9" t="str">
        <x:v>Google</x:v>
      </x:c>
      <x:c r="E45" s="9" t="str">
        <x:v>Ergotopia GmbH</x:v>
      </x:c>
      <x:c r="F45" s="10" t="d">
        <x:v>2026-09-28T00:00:00.000Z</x:v>
      </x:c>
      <x:c r="G45" s="10" t="d">
        <x:v>2026-10-14T00:00:00.000Z</x:v>
      </x:c>
      <x:c r="H45" s="9" t="str">
        <x:v>未以最后展示日期推断当前状态</x:v>
      </x:c>
      <x:c r="I45" s="9" t="str">
        <x:v>详情日期与德国地区已核验</x:v>
      </x:c>
      <x:c r="J45" s="9" t="str">
        <x:v>Desktopia Pro X - Jetzt elektrisch</x:v>
      </x:c>
      <x:c r="K45" s="9"/>
      <x:c r="L45" s="9"/>
      <x:c r="M45" s="9" t="str">
        <x:v>https://adstransparency.google.com/advertiser/AR17237286746354352129/creative/CR05597477950271258625?region=DE&amp;start-date=2026-09-16&amp;end-date=2026-10-15&amp;format=IMAGE</x:v>
      </x:c>
      <x:c r="N45" s="9" t="str">
        <x:v>短摘录；完整标题/正文需回原平台查看。空字段表示未公开或未读取。</x:v>
      </x:c>
    </x:row>
    <x:row r="46" ht="115" customHeight="1">
      <x:c r="A46" s="9" t="str">
        <x:v>ERGO-GAD-046</x:v>
      </x:c>
      <x:c r="B46" s="9" t="str">
        <x:v>ERGO-GOOG-046</x:v>
      </x:c>
      <x:c r="C46" s="9" t="str">
        <x:v>Ergotopia</x:v>
      </x:c>
      <x:c r="D46" s="9" t="str">
        <x:v>Google</x:v>
      </x:c>
      <x:c r="E46" s="9" t="str">
        <x:v>Ergotopia GmbH</x:v>
      </x:c>
      <x:c r="F46" s="10"/>
      <x:c r="G46" s="10"/>
      <x:c r="H46" s="9" t="str">
        <x:v>未以最后展示日期推断当前状态</x:v>
      </x:c>
      <x:c r="I46" s="9" t="str">
        <x:v>德国日期筛选列表已核验；单条首次/最后日期未读取</x:v>
      </x:c>
      <x:c r="J46" s="9" t="str">
        <x:v>Ergotopia Desktopia Pro X I Elektrisch höhenverstellbarer Schreibtisch I 180x80 cm I Eiche Echtholz massiv eckig I Gestell Schwarz</x:v>
      </x:c>
      <x:c r="K46" s="9"/>
      <x:c r="L46" s="9"/>
      <x:c r="M46" s="9" t="str">
        <x:v>https://adstransparency.google.com/advertiser/AR17237286746354352129/creative/CR10548422842704199681?region=DE&amp;start-date=2026-09-16&amp;end-date=2026-10-15&amp;format=IMAGE</x:v>
      </x:c>
      <x:c r="N46" s="9" t="str">
        <x:v>短摘录；完整标题/正文需回原平台查看。空字段表示未公开或未读取。</x:v>
      </x:c>
    </x:row>
    <x:row r="47" ht="115" customHeight="1">
      <x:c r="A47" s="9" t="str">
        <x:v>ERGO-GAD-047</x:v>
      </x:c>
      <x:c r="B47" s="9" t="str">
        <x:v>ERGO-GOOG-047</x:v>
      </x:c>
      <x:c r="C47" s="9" t="str">
        <x:v>Ergotopia</x:v>
      </x:c>
      <x:c r="D47" s="9" t="str">
        <x:v>Google</x:v>
      </x:c>
      <x:c r="E47" s="9" t="str">
        <x:v>Ergotopia GmbH</x:v>
      </x:c>
      <x:c r="F47" s="10"/>
      <x:c r="G47" s="10"/>
      <x:c r="H47" s="9" t="str">
        <x:v>未以最后展示日期推断当前状态</x:v>
      </x:c>
      <x:c r="I47" s="9" t="str">
        <x:v>德国日期筛选列表已核验；单条首次/最后日期未读取</x:v>
      </x:c>
      <x:c r="J47" s="9" t="str">
        <x:v>Ergotopia Desktopia Pro X I</x:v>
      </x:c>
      <x:c r="K47" s="9"/>
      <x:c r="L47" s="9"/>
      <x:c r="M47" s="9" t="str">
        <x:v>https://adstransparency.google.com/advertiser/AR17237286746354352129/creative/CR06989703925825798145?region=DE&amp;start-date=2026-09-16&amp;end-date=2026-10-15&amp;format=IMAGE</x:v>
      </x:c>
      <x:c r="N47" s="9" t="str">
        <x:v>短摘录；完整标题/正文需回原平台查看。空字段表示未公开或未读取。</x:v>
      </x:c>
    </x:row>
    <x:row r="48" ht="115" customHeight="1">
      <x:c r="A48" s="9" t="str">
        <x:v>ERGO-GAD-050</x:v>
      </x:c>
      <x:c r="B48" s="9" t="str">
        <x:v>ERGO-GOOG-050</x:v>
      </x:c>
      <x:c r="C48" s="9" t="str">
        <x:v>Ergotopia</x:v>
      </x:c>
      <x:c r="D48" s="9" t="str">
        <x:v>Google</x:v>
      </x:c>
      <x:c r="E48" s="9" t="str">
        <x:v>Ergotopia GmbH</x:v>
      </x:c>
      <x:c r="F48" s="10" t="d">
        <x:v>2024-11-11T00:00:00.000Z</x:v>
      </x:c>
      <x:c r="G48" s="10" t="d">
        <x:v>2026-10-08T00:00:00.000Z</x:v>
      </x:c>
      <x:c r="H48" s="9" t="str">
        <x:v>未以最后展示日期推断当前状态</x:v>
      </x:c>
      <x:c r="I48" s="9" t="str">
        <x:v>详情日期与德国地区已核验</x:v>
      </x:c>
      <x:c r="J48" s="9" t="str">
        <x:v>Ergotopia Desktopia One I Elektrisch höhenverstellbarer Schreibtisch I 120x65 cm I Weiß Dekor rund I Gestell Apricot</x:v>
      </x:c>
      <x:c r="K48" s="9"/>
      <x:c r="L48" s="9"/>
      <x:c r="M48" s="9" t="str">
        <x:v>https://adstransparency.google.com/advertiser/AR17237286746354352129/creative/CR16336338448879190017?region=DE&amp;start-date=2026-09-16&amp;end-date=2026-10-15&amp;format=IMAGE</x:v>
      </x:c>
      <x:c r="N48" s="9" t="str">
        <x:v>短摘录；完整标题/正文需回原平台查看。空字段表示未公开或未读取。</x:v>
      </x:c>
    </x:row>
    <x:row r="49" ht="115" customHeight="1">
      <x:c r="A49" s="9" t="str">
        <x:v>ERGO-GAD-052</x:v>
      </x:c>
      <x:c r="B49" s="9" t="str">
        <x:v>ERGO-GOOG-052</x:v>
      </x:c>
      <x:c r="C49" s="9" t="str">
        <x:v>Ergotopia</x:v>
      </x:c>
      <x:c r="D49" s="9" t="str">
        <x:v>Google</x:v>
      </x:c>
      <x:c r="E49" s="9" t="str">
        <x:v>Ergotopia GmbH</x:v>
      </x:c>
      <x:c r="F49" s="10" t="d">
        <x:v>2024-07-01T00:00:00.000Z</x:v>
      </x:c>
      <x:c r="G49" s="10" t="d">
        <x:v>2026-10-13T00:00:00.000Z</x:v>
      </x:c>
      <x:c r="H49" s="9" t="str">
        <x:v>未以最后展示日期推断当前状态</x:v>
      </x:c>
      <x:c r="I49" s="9" t="str">
        <x:v>详情日期与德国地区已核验</x:v>
      </x:c>
      <x:c r="J49" s="9"/>
      <x:c r="K49" s="9"/>
      <x:c r="L49" s="9"/>
      <x:c r="M49" s="9" t="str">
        <x:v>https://adstransparency.google.com/advertiser/AR17237286746354352129/creative/CR16615729249759789057?region=DE&amp;start-date=2026-09-16&amp;end-date=2026-10-15&amp;format=IMAGE</x:v>
      </x:c>
      <x:c r="N49" s="9" t="str">
        <x:v>短摘录；完整标题/正文需回原平台查看。空字段表示未公开或未读取。</x:v>
      </x:c>
    </x:row>
    <x:row r="50" ht="115" customHeight="1">
      <x:c r="A50" s="9" t="str">
        <x:v>ERGO-GAD-066</x:v>
      </x:c>
      <x:c r="B50" s="9" t="str">
        <x:v>ERGO-GOOG-066</x:v>
      </x:c>
      <x:c r="C50" s="9" t="str">
        <x:v>Ergotopia</x:v>
      </x:c>
      <x:c r="D50" s="9" t="str">
        <x:v>Google</x:v>
      </x:c>
      <x:c r="E50" s="9" t="str">
        <x:v>Ergotopia GmbH</x:v>
      </x:c>
      <x:c r="F50" s="10" t="d">
        <x:v>2026-08-31T00:00:00.000Z</x:v>
      </x:c>
      <x:c r="G50" s="10" t="d">
        <x:v>2026-10-13T00:00:00.000Z</x:v>
      </x:c>
      <x:c r="H50" s="9" t="str">
        <x:v>未以最后展示日期推断当前状态</x:v>
      </x:c>
      <x:c r="I50" s="9" t="str">
        <x:v>详情日期与德国地区已核验</x:v>
      </x:c>
      <x:c r="J50" s="9"/>
      <x:c r="K50" s="9"/>
      <x:c r="L50" s="9"/>
      <x:c r="M50" s="9" t="str">
        <x:v>https://adstransparency.google.com/advertiser/AR17237286746354352129/creative/CR12989320248137089025?region=DE&amp;start-date=2026-09-16&amp;end-date=2026-10-15&amp;format=IMAGE</x:v>
      </x:c>
      <x:c r="N50" s="9" t="str">
        <x:v>短摘录；完整标题/正文需回原平台查看。空字段表示未公开或未读取。</x:v>
      </x:c>
    </x:row>
    <x:row r="51" ht="115" customHeight="1">
      <x:c r="A51" s="9" t="str">
        <x:v>ERGO-GAD-069</x:v>
      </x:c>
      <x:c r="B51" s="9" t="str">
        <x:v>ERGO-GOOG-026</x:v>
      </x:c>
      <x:c r="C51" s="9" t="str">
        <x:v>Ergotopia</x:v>
      </x:c>
      <x:c r="D51" s="9" t="str">
        <x:v>Google</x:v>
      </x:c>
      <x:c r="E51" s="9" t="str">
        <x:v>Ergotopia GmbH</x:v>
      </x:c>
      <x:c r="F51" s="10" t="d">
        <x:v>2025-03-13T00:00:00.000Z</x:v>
      </x:c>
      <x:c r="G51" s="10" t="d">
        <x:v>2026-10-09T00:00:00.000Z</x:v>
      </x:c>
      <x:c r="H51" s="9" t="str">
        <x:v>未以最后展示日期推断当前状态</x:v>
      </x:c>
      <x:c r="I51" s="9" t="str">
        <x:v>详情日期与德国地区已核验</x:v>
      </x:c>
      <x:c r="J51" s="9" t="str">
        <x:v>Ergotopia Desktopia One I Elektrisch höhenverstellbarer Schreibtisch I 120x65 cm I Weiß Dekor rund I Gestell Weiß</x:v>
      </x:c>
      <x:c r="K51" s="9"/>
      <x:c r="L51" s="9"/>
      <x:c r="M51" s="9" t="str">
        <x:v>https://adstransparency.google.com/advertiser/AR17237286746354352129/creative/CR03386481571438526465?region=DE&amp;start-date=2026-09-16&amp;end-date=2026-10-15&amp;format=IMAGE</x:v>
      </x:c>
      <x:c r="N51" s="9" t="str">
        <x:v>短摘录；完整标题/正文需回原平台查看。空字段表示未公开或未读取。</x:v>
      </x:c>
    </x:row>
    <x:row r="52" ht="115" customHeight="1">
      <x:c r="A52" s="9" t="str">
        <x:v>ERGO-GAD-070</x:v>
      </x:c>
      <x:c r="B52" s="9" t="str">
        <x:v>ERGO-GOOG-070</x:v>
      </x:c>
      <x:c r="C52" s="9" t="str">
        <x:v>Ergotopia</x:v>
      </x:c>
      <x:c r="D52" s="9" t="str">
        <x:v>Google</x:v>
      </x:c>
      <x:c r="E52" s="9" t="str">
        <x:v>Ergotopia GmbH</x:v>
      </x:c>
      <x:c r="F52" s="10"/>
      <x:c r="G52" s="10"/>
      <x:c r="H52" s="9" t="str">
        <x:v>未以最后展示日期推断当前状态</x:v>
      </x:c>
      <x:c r="I52" s="9" t="str">
        <x:v>德国日期筛选列表已核验；单条首次/最后日期未读取</x:v>
      </x:c>
      <x:c r="J52" s="9" t="str">
        <x:v>Ergotopia Desktopia Pro X I Elektrisch höhenverstellbarer Schreibtisch I 160x80 cm I Buche Dekor eckig I Gestell Schwarz</x:v>
      </x:c>
      <x:c r="K52" s="9"/>
      <x:c r="L52" s="9"/>
      <x:c r="M52" s="9" t="str">
        <x:v>https://adstransparency.google.com/advertiser/AR17237286746354352129/creative/CR13376102746294321153?region=DE&amp;start-date=2026-09-16&amp;end-date=2026-10-15&amp;format=IMAGE</x:v>
      </x:c>
      <x:c r="N52" s="9" t="str">
        <x:v>短摘录；完整标题/正文需回原平台查看。空字段表示未公开或未读取。</x:v>
      </x:c>
    </x:row>
    <x:row r="53" ht="115" customHeight="1">
      <x:c r="A53" s="9" t="str">
        <x:v>ERGO-GAD-076</x:v>
      </x:c>
      <x:c r="B53" s="9" t="str">
        <x:v>ERGO-GOOG-076</x:v>
      </x:c>
      <x:c r="C53" s="9" t="str">
        <x:v>Ergotopia</x:v>
      </x:c>
      <x:c r="D53" s="9" t="str">
        <x:v>Google</x:v>
      </x:c>
      <x:c r="E53" s="9" t="str">
        <x:v>Ergotopia GmbH</x:v>
      </x:c>
      <x:c r="F53" s="10" t="d">
        <x:v>2024-08-19T00:00:00.000Z</x:v>
      </x:c>
      <x:c r="G53" s="10" t="d">
        <x:v>2026-10-06T00:00:00.000Z</x:v>
      </x:c>
      <x:c r="H53" s="9" t="str">
        <x:v>未以最后展示日期推断当前状态</x:v>
      </x:c>
      <x:c r="I53" s="9" t="str">
        <x:v>详情日期与德国地区已核验</x:v>
      </x:c>
      <x:c r="J53" s="9" t="str">
        <x:v>Ergotopia Desktopia Pro X I</x:v>
      </x:c>
      <x:c r="K53" s="9"/>
      <x:c r="L53" s="9"/>
      <x:c r="M53" s="9" t="str">
        <x:v>https://adstransparency.google.com/advertiser/AR17237286746354352129/creative/CR18240386597537185793?region=DE&amp;start-date=2026-09-16&amp;end-date=2026-10-15&amp;format=IMAGE</x:v>
      </x:c>
      <x:c r="N53" s="9" t="str">
        <x:v>短摘录；完整标题/正文需回原平台查看。空字段表示未公开或未读取。</x:v>
      </x:c>
    </x:row>
    <x:row r="54" ht="115" customHeight="1">
      <x:c r="A54" s="9" t="str">
        <x:v>ERGO-GAD-078</x:v>
      </x:c>
      <x:c r="B54" s="9" t="str">
        <x:v>ERGO-GOOG-078</x:v>
      </x:c>
      <x:c r="C54" s="9" t="str">
        <x:v>Ergotopia</x:v>
      </x:c>
      <x:c r="D54" s="9" t="str">
        <x:v>Google</x:v>
      </x:c>
      <x:c r="E54" s="9" t="str">
        <x:v>Ergotopia GmbH</x:v>
      </x:c>
      <x:c r="F54" s="10"/>
      <x:c r="G54" s="10"/>
      <x:c r="H54" s="9" t="str">
        <x:v>未以最后展示日期推断当前状态</x:v>
      </x:c>
      <x:c r="I54" s="9" t="str">
        <x:v>德国日期筛选列表已核验；单条首次/最后日期未读取</x:v>
      </x:c>
      <x:c r="J54" s="9" t="str">
        <x:v>Ergotopia Desktopia Edge I</x:v>
      </x:c>
      <x:c r="K54" s="9"/>
      <x:c r="L54" s="9"/>
      <x:c r="M54" s="9" t="str">
        <x:v>https://adstransparency.google.com/advertiser/AR17237286746354352129/creative/CR18024136755120177153?region=DE&amp;start-date=2026-09-16&amp;end-date=2026-10-15&amp;format=IMAGE</x:v>
      </x:c>
      <x:c r="N54" s="9" t="str">
        <x:v>短摘录；完整标题/正文需回原平台查看。空字段表示未公开或未读取。</x:v>
      </x:c>
    </x:row>
    <x:row r="55" ht="115" customHeight="1">
      <x:c r="A55" s="9" t="str">
        <x:v>YAAS-GAD-006</x:v>
      </x:c>
      <x:c r="B55" s="9" t="str">
        <x:v>YAAS-GOOG-006</x:v>
      </x:c>
      <x:c r="C55" s="9" t="str">
        <x:v>Yaasa</x:v>
      </x:c>
      <x:c r="D55" s="9" t="str">
        <x:v>Google</x:v>
      </x:c>
      <x:c r="E55" s="9" t="str">
        <x:v>YAASA GmbH</x:v>
      </x:c>
      <x:c r="F55" s="10"/>
      <x:c r="G55" s="10"/>
      <x:c r="H55" s="9" t="str">
        <x:v>未以最后展示日期推断当前状态</x:v>
      </x:c>
      <x:c r="I55" s="9" t="str">
        <x:v>德国日期筛选列表已核验；单条首次/最后日期未读取</x:v>
      </x:c>
      <x:c r="J55" s="9" t="str">
        <x:v>Yaasa Desk Essential, 120x80 cm, Eiche dunkel/Schwarz - Schreibtisch elektrisch höhenverstellbar</x:v>
      </x:c>
      <x:c r="K55" s="9"/>
      <x:c r="L55" s="9"/>
      <x:c r="M55" s="9" t="str">
        <x:v>https://adstransparency.google.com/advertiser/AR11132507814793052161/creative/CR03545639779389407233?region=DE&amp;start-date=2026-09-16&amp;end-date=2026-10-15&amp;format=IMAGE</x:v>
      </x:c>
      <x:c r="N55" s="9" t="str">
        <x:v>短摘录；完整标题/正文需回原平台查看。空字段表示未公开或未读取。</x:v>
      </x:c>
    </x:row>
    <x:row r="56" ht="115" customHeight="1">
      <x:c r="A56" s="9" t="str">
        <x:v>YAAS-GAD-009</x:v>
      </x:c>
      <x:c r="B56" s="9" t="str">
        <x:v>YAAS-GOOG-009</x:v>
      </x:c>
      <x:c r="C56" s="9" t="str">
        <x:v>Yaasa</x:v>
      </x:c>
      <x:c r="D56" s="9" t="str">
        <x:v>Google</x:v>
      </x:c>
      <x:c r="E56" s="9" t="str">
        <x:v>YAASA GmbH</x:v>
      </x:c>
      <x:c r="F56" s="10"/>
      <x:c r="G56" s="10"/>
      <x:c r="H56" s="9" t="str">
        <x:v>未以最后展示日期推断当前状态</x:v>
      </x:c>
      <x:c r="I56" s="9" t="str">
        <x:v>德国日期筛选列表已核验；单条首次/最后日期未读取</x:v>
      </x:c>
      <x:c r="J56" s="9" t="str">
        <x:v>Yaasa Desk Essential, 140x80 cm, Weiß - Elektrisch höhenverstellbarer Schreibtisch</x:v>
      </x:c>
      <x:c r="K56" s="9"/>
      <x:c r="L56" s="9"/>
      <x:c r="M56" s="9" t="str">
        <x:v>https://adstransparency.google.com/advertiser/AR11132507814793052161/creative/CR17401753594012631041?region=DE&amp;start-date=2026-09-16&amp;end-date=2026-10-15&amp;format=IMAGE</x:v>
      </x:c>
      <x:c r="N56" s="9" t="str">
        <x:v>短摘录；完整标题/正文需回原平台查看。空字段表示未公开或未读取。</x:v>
      </x:c>
    </x:row>
    <x:row r="57" ht="115" customHeight="1">
      <x:c r="A57" s="9" t="str">
        <x:v>YAAS-GAD-010</x:v>
      </x:c>
      <x:c r="B57" s="9" t="str">
        <x:v>YAAS-GOOG-010</x:v>
      </x:c>
      <x:c r="C57" s="9" t="str">
        <x:v>Yaasa</x:v>
      </x:c>
      <x:c r="D57" s="9" t="str">
        <x:v>Google</x:v>
      </x:c>
      <x:c r="E57" s="9" t="str">
        <x:v>YAASA GmbH</x:v>
      </x:c>
      <x:c r="F57" s="10"/>
      <x:c r="G57" s="10"/>
      <x:c r="H57" s="9" t="str">
        <x:v>未以最后展示日期推断当前状态</x:v>
      </x:c>
      <x:c r="I57" s="9" t="str">
        <x:v>德国日期筛选列表已核验；单条首次/最后日期未读取</x:v>
      </x:c>
      <x:c r="J57" s="9" t="str">
        <x:v>Yaasa Desk Pro, 160x80 cm, Multiplex Weiß - Höhenverstellbarer Sitz-Steh-Tisch fürs Büro</x:v>
      </x:c>
      <x:c r="K57" s="9"/>
      <x:c r="L57" s="9"/>
      <x:c r="M57" s="9" t="str">
        <x:v>https://adstransparency.google.com/advertiser/AR11132507814793052161/creative/CR17581295690980524033?region=DE&amp;start-date=2026-09-16&amp;end-date=2026-10-15&amp;format=IMAGE</x:v>
      </x:c>
      <x:c r="N57" s="9" t="str">
        <x:v>短摘录；完整标题/正文需回原平台查看。空字段表示未公开或未读取。</x:v>
      </x:c>
    </x:row>
    <x:row r="58" ht="115" customHeight="1">
      <x:c r="A58" s="9" t="str">
        <x:v>YAAS-GAD-015</x:v>
      </x:c>
      <x:c r="B58" s="9" t="str">
        <x:v>YAAS-GOOG-015</x:v>
      </x:c>
      <x:c r="C58" s="9" t="str">
        <x:v>Yaasa</x:v>
      </x:c>
      <x:c r="D58" s="9" t="str">
        <x:v>Google</x:v>
      </x:c>
      <x:c r="E58" s="9" t="str">
        <x:v>YAASA GmbH</x:v>
      </x:c>
      <x:c r="F58" s="10"/>
      <x:c r="G58" s="10"/>
      <x:c r="H58" s="9" t="str">
        <x:v>未以最后展示日期推断当前状态</x:v>
      </x:c>
      <x:c r="I58" s="9" t="str">
        <x:v>德国日期筛选列表已核验；单条首次/最后日期未读取</x:v>
      </x:c>
      <x:c r="J58" s="9"/>
      <x:c r="K58" s="9"/>
      <x:c r="L58" s="9"/>
      <x:c r="M58" s="9" t="str">
        <x:v>https://adstransparency.google.com/advertiser/AR11132507814793052161/creative/CR08804287484801318913?region=DE&amp;start-date=2026-09-16&amp;end-date=2026-10-15&amp;format=IMAGE</x:v>
      </x:c>
      <x:c r="N58" s="9" t="str">
        <x:v>短摘录；完整标题/正文需回原平台查看。空字段表示未公开或未读取。</x:v>
      </x:c>
    </x:row>
    <x:row r="59" ht="115" customHeight="1">
      <x:c r="A59" s="9" t="str">
        <x:v>YAAS-GAD-016</x:v>
      </x:c>
      <x:c r="B59" s="9" t="str">
        <x:v>YAAS-GOOG-016</x:v>
      </x:c>
      <x:c r="C59" s="9" t="str">
        <x:v>Yaasa</x:v>
      </x:c>
      <x:c r="D59" s="9" t="str">
        <x:v>Google</x:v>
      </x:c>
      <x:c r="E59" s="9" t="str">
        <x:v>YAASA GmbH</x:v>
      </x:c>
      <x:c r="F59" s="10"/>
      <x:c r="G59" s="10"/>
      <x:c r="H59" s="9" t="str">
        <x:v>未以最后展示日期推断当前状态</x:v>
      </x:c>
      <x:c r="I59" s="9" t="str">
        <x:v>德国日期筛选列表已核验；单条首次/最后日期未读取</x:v>
      </x:c>
      <x:c r="J59" s="9"/>
      <x:c r="K59" s="9"/>
      <x:c r="L59" s="9"/>
      <x:c r="M59" s="9" t="str">
        <x:v>https://adstransparency.google.com/advertiser/AR11132507814793052161/creative/CR16743120977646321665?region=DE&amp;start-date=2026-09-16&amp;end-date=2026-10-15&amp;format=IMAGE</x:v>
      </x:c>
      <x:c r="N59" s="9" t="str">
        <x:v>短摘录；完整标题/正文需回原平台查看。空字段表示未公开或未读取。</x:v>
      </x:c>
    </x:row>
    <x:row r="60" ht="115" customHeight="1">
      <x:c r="A60" s="9" t="str">
        <x:v>YAAS-GAD-017</x:v>
      </x:c>
      <x:c r="B60" s="9" t="str">
        <x:v>YAAS-GOOG-017</x:v>
      </x:c>
      <x:c r="C60" s="9" t="str">
        <x:v>Yaasa</x:v>
      </x:c>
      <x:c r="D60" s="9" t="str">
        <x:v>Google</x:v>
      </x:c>
      <x:c r="E60" s="9" t="str">
        <x:v>YAASA GmbH</x:v>
      </x:c>
      <x:c r="F60" s="10"/>
      <x:c r="G60" s="10"/>
      <x:c r="H60" s="9" t="str">
        <x:v>未以最后展示日期推断当前状态</x:v>
      </x:c>
      <x:c r="I60" s="9" t="str">
        <x:v>德国日期筛选列表已核验；单条首次/最后日期未读取</x:v>
      </x:c>
      <x:c r="J60" s="9"/>
      <x:c r="K60" s="9"/>
      <x:c r="L60" s="9"/>
      <x:c r="M60" s="9" t="str">
        <x:v>https://adstransparency.google.com/advertiser/AR11132507814793052161/creative/CR02933833138457018369?region=DE&amp;start-date=2026-09-16&amp;end-date=2026-10-15&amp;format=IMAGE</x:v>
      </x:c>
      <x:c r="N60" s="9" t="str">
        <x:v>短摘录；完整标题/正文需回原平台查看。空字段表示未公开或未读取。</x:v>
      </x:c>
    </x:row>
    <x:row r="61" ht="115" customHeight="1">
      <x:c r="A61" s="9" t="str">
        <x:v>YAAS-GAD-018</x:v>
      </x:c>
      <x:c r="B61" s="9" t="str">
        <x:v>YAAS-GOOG-018</x:v>
      </x:c>
      <x:c r="C61" s="9" t="str">
        <x:v>Yaasa</x:v>
      </x:c>
      <x:c r="D61" s="9" t="str">
        <x:v>Google</x:v>
      </x:c>
      <x:c r="E61" s="9" t="str">
        <x:v>YAASA GmbH</x:v>
      </x:c>
      <x:c r="F61" s="10"/>
      <x:c r="G61" s="10"/>
      <x:c r="H61" s="9" t="str">
        <x:v>未以最后展示日期推断当前状态</x:v>
      </x:c>
      <x:c r="I61" s="9" t="str">
        <x:v>德国日期筛选列表已核验；单条首次/最后日期未读取</x:v>
      </x:c>
      <x:c r="J61" s="9"/>
      <x:c r="K61" s="9"/>
      <x:c r="L61" s="9"/>
      <x:c r="M61" s="9" t="str">
        <x:v>https://adstransparency.google.com/advertiser/AR11132507814793052161/creative/CR04084807545410027521?region=DE&amp;start-date=2026-09-16&amp;end-date=2026-10-15&amp;format=IMAGE</x:v>
      </x:c>
      <x:c r="N61" s="9" t="str">
        <x:v>短摘录；完整标题/正文需回原平台查看。空字段表示未公开或未读取。</x:v>
      </x:c>
    </x:row>
    <x:row r="62" ht="115" customHeight="1">
      <x:c r="A62" s="9" t="str">
        <x:v>ERGO-MAD-2477194332778401</x:v>
      </x:c>
      <x:c r="B62" s="9" t="str">
        <x:v>ERGO-META-2477194332778401</x:v>
      </x:c>
      <x:c r="C62" s="9" t="str">
        <x:v>Ergotopia</x:v>
      </x:c>
      <x:c r="D62" s="9" t="str">
        <x:v>Meta</x:v>
      </x:c>
      <x:c r="E62" s="9" t="str">
        <x:v>Ergotopia</x:v>
      </x:c>
      <x:c r="F62" s="10" t="d">
        <x:v>2026-08-04T00:00:00.000Z</x:v>
      </x:c>
      <x:c r="G62" s="10"/>
      <x:c r="H62" s="9" t="str">
        <x:v>投放中（采集日页面状态）</x:v>
      </x:c>
      <x:c r="I62" s="9" t="str">
        <x:v>德国公开列表中投放中，采集日可见；未公开停止日期</x:v>
      </x:c>
      <x:c r="J62" s="9" t="str">
        <x:v>Qualität, die man spürt.</x:v>
      </x:c>
      <x:c r="K62" s="9" t="str">
        <x:v>Qualität, die man spürt – schon beim ersten Berühren. 🪵 Der Desktopia Pro X trägt bis zu 160 kg im fahrenden …</x:v>
      </x:c>
      <x:c r="L62" s="9" t="str">
        <x:v>https://www.ergotopia.de/ergonomie-shop/hoehenverstellbarer-schreibtisch/desktopia-pro-x</x:v>
      </x:c>
      <x:c r="M62" s="9" t="str">
        <x:v>https://www.facebook.com/ads/library/?active_status=all&amp;ad_type=all&amp;country=DE&amp;is_targeted_country=false&amp;media_type=all&amp;q=Ergotopia&amp;search_type=keyword_unordered&amp;sort_data[mode]=total_impressions&amp;sort_data[direction]=desc</x:v>
      </x:c>
      <x:c r="N62" s="9" t="str">
        <x:v>短摘录；完整标题/正文需回原平台查看。空字段表示未公开或未读取。</x:v>
      </x:c>
    </x:row>
    <x:row r="63" ht="115" customHeight="1">
      <x:c r="A63" s="9" t="str">
        <x:v>ERGO-MAD-27557923087177457</x:v>
      </x:c>
      <x:c r="B63" s="9" t="str">
        <x:v>ERGO-META-27557923087177457</x:v>
      </x:c>
      <x:c r="C63" s="9" t="str">
        <x:v>Ergotopia</x:v>
      </x:c>
      <x:c r="D63" s="9" t="str">
        <x:v>Meta</x:v>
      </x:c>
      <x:c r="E63" s="9" t="str">
        <x:v>Ergotopia</x:v>
      </x:c>
      <x:c r="F63" s="10" t="d">
        <x:v>2026-06-20T00:00:00.000Z</x:v>
      </x:c>
      <x:c r="G63" s="10" t="d">
        <x:v>2026-10-12T00:00:00.000Z</x:v>
      </x:c>
      <x:c r="H63" s="9" t="str">
        <x:v>已停止</x:v>
      </x:c>
      <x:c r="I63" s="9" t="str">
        <x:v>德国公开列表的起止日期与研究窗口相交</x:v>
      </x:c>
      <x:c r="J63" s="9" t="str">
        <x:v>Versandkostenfrei bestellen.</x:v>
      </x:c>
      <x:c r="K63" s="9" t="str">
        <x:v>Dein Rücken wartet nicht. Warum tust du es? Bestelle heute und arbeite übermorgen schon schmerzfrei. 📦 Versandkostenfrei bestellen. Bequem online bestellen. Order Now</x:v>
      </x:c>
      <x:c r="L63" s="9" t="str">
        <x:v>https://www.ergotopia.de/ergonomie-shop/hoehenverstellbarer-schreibtisch/desktopia-pro-x</x:v>
      </x:c>
      <x:c r="M63" s="9" t="str">
        <x:v>https://www.facebook.com/ads/library/?active_status=all&amp;ad_type=all&amp;country=DE&amp;is_targeted_country=false&amp;media_type=all&amp;q=Ergotopia&amp;search_type=keyword_unordered&amp;sort_data[mode]=total_impressions&amp;sort_data[direction]=desc</x:v>
      </x:c>
      <x:c r="N63" s="9" t="str">
        <x:v>短摘录；完整标题/正文需回原平台查看。空字段表示未公开或未读取。</x:v>
      </x:c>
    </x:row>
    <x:row r="64" ht="115" customHeight="1">
      <x:c r="A64" s="9" t="str">
        <x:v>ERGO-MAD-924680070679562</x:v>
      </x:c>
      <x:c r="B64" s="9" t="str">
        <x:v>ERGO-META-924680070679562</x:v>
      </x:c>
      <x:c r="C64" s="9" t="str">
        <x:v>Ergotopia</x:v>
      </x:c>
      <x:c r="D64" s="9" t="str">
        <x:v>Meta</x:v>
      </x:c>
      <x:c r="E64" s="9" t="str">
        <x:v>Ergotopia</x:v>
      </x:c>
      <x:c r="F64" s="10" t="d">
        <x:v>2026-07-20T00:00:00.000Z</x:v>
      </x:c>
      <x:c r="G64" s="10"/>
      <x:c r="H64" s="9" t="str">
        <x:v>投放中（采集日页面状态）</x:v>
      </x:c>
      <x:c r="I64" s="9" t="str">
        <x:v>德国公开列表中投放中，采集日可见；未公开停止日期</x:v>
      </x:c>
      <x:c r="J64" s="9" t="str">
        <x:v>Ein Tisch? Dein Tisch. Jetzt selbst gestalten 🎨</x:v>
      </x:c>
      <x:c r="K64" s="9" t="str">
        <x:v>Dein Schreibtisch. Deine Regeln. 🎨 Warum sich mit „Standard" zufriedengeben, wenn Dein Arbeitsplatz genau zu Dir passen …</x:v>
      </x:c>
      <x:c r="L64" s="9" t="str">
        <x:v>https://www.ergotopia.de/ergonomie-shop/hoehenverstellbarer-schreibtisch/desktopia-pro-x</x:v>
      </x:c>
      <x:c r="M64" s="9" t="str">
        <x:v>https://www.facebook.com/ads/library/?active_status=all&amp;ad_type=all&amp;country=DE&amp;is_targeted_country=false&amp;media_type=all&amp;q=Ergotopia&amp;search_type=keyword_unordered&amp;sort_data[mode]=total_impressions&amp;sort_data[direction]=desc</x:v>
      </x:c>
      <x:c r="N64" s="9" t="str">
        <x:v>短摘录；完整标题/正文需回原平台查看。空字段表示未公开或未读取。</x:v>
      </x:c>
    </x:row>
    <x:row r="65" ht="115" customHeight="1">
      <x:c r="A65" s="9" t="str">
        <x:v>DESK-MAD-1932019537461827</x:v>
      </x:c>
      <x:c r="B65" s="9" t="str">
        <x:v>DESK-META-1932019537461827</x:v>
      </x:c>
      <x:c r="C65" s="9" t="str">
        <x:v>Desktronic</x:v>
      </x:c>
      <x:c r="D65" s="9" t="str">
        <x:v>Meta</x:v>
      </x:c>
      <x:c r="E65" s="9" t="str">
        <x:v>Desktronic</x:v>
      </x:c>
      <x:c r="F65" s="10" t="d">
        <x:v>2026-06-16T00:00:00.000Z</x:v>
      </x:c>
      <x:c r="G65" s="10" t="d">
        <x:v>2026-09-28T00:00:00.000Z</x:v>
      </x:c>
      <x:c r="H65" s="9" t="str">
        <x:v>已停止</x:v>
      </x:c>
      <x:c r="I65" s="9" t="str">
        <x:v>德国公开列表的起止日期与研究窗口相交</x:v>
      </x:c>
      <x:c r="J65" s="9" t="str">
        <x:v>HomeOne Schreibtisch Weiß / Weiß / 160x80 cm</x:v>
      </x:c>
      <x:c r="K65" s="9" t="str">
        <x:v>Upgrade dein Homeoffice dieses Jahr mit verstellbaren Schreibtischen, Stühlen und Zubehör. DESKTRONIC.DE HomeOne Schreibtisch Weiß / Weiß …</x:v>
      </x:c>
      <x:c r="L65" s="9" t="str">
        <x:v>https://desktronic.de/products/hohenverstellbarer-schreibtisch?variant=38107832385725</x:v>
      </x:c>
      <x:c r="M65" s="9" t="str">
        <x:v>https://www.facebook.com/ads/library/?active_status=all&amp;ad_type=all&amp;country=DE&amp;is_targeted_country=false&amp;media_type=all&amp;q=Desktronic&amp;search_type=keyword_unordered&amp;sort_data[mode]=total_impressions&amp;sort_data[direction]=desc</x:v>
      </x:c>
      <x:c r="N65" s="9" t="str">
        <x:v>短摘录；完整标题/正文需回原平台查看。空字段表示未公开或未读取。</x:v>
      </x:c>
    </x:row>
    <x:row r="66" ht="115" customHeight="1">
      <x:c r="A66" s="9" t="str">
        <x:v>DESK-MAD-980177638167248</x:v>
      </x:c>
      <x:c r="B66" s="9" t="str">
        <x:v>DESK-META-980177638167248</x:v>
      </x:c>
      <x:c r="C66" s="9" t="str">
        <x:v>Desktronic</x:v>
      </x:c>
      <x:c r="D66" s="9" t="str">
        <x:v>Meta</x:v>
      </x:c>
      <x:c r="E66" s="9" t="str">
        <x:v>Marie Claire Germany（第三方广告主）</x:v>
      </x:c>
      <x:c r="F66" s="10" t="d">
        <x:v>2026-06-19T00:00:00.000Z</x:v>
      </x:c>
      <x:c r="G66" s="10" t="d">
        <x:v>2026-09-28T00:00:00.000Z</x:v>
      </x:c>
      <x:c r="H66" s="9" t="str">
        <x:v>已停止</x:v>
      </x:c>
      <x:c r="I66" s="9" t="str">
        <x:v>德国公开列表的起止日期与研究窗口相交</x:v>
      </x:c>
      <x:c r="J66" s="9" t="str">
        <x:v>Kostenloser Versand und Rückgabe</x:v>
      </x:c>
      <x:c r="K66" s="9" t="str">
        <x:v>Neue Saison, besseres Setup. Verbessere deine Haltung und deinen Komfort mit ergonomischem Design Kostenloser Versand und Rückgabe Nicht verpassen Shop Now</x:v>
      </x:c>
      <x:c r="L66" s="9" t="str">
        <x:v>https://desktronic.de/</x:v>
      </x:c>
      <x:c r="M66" s="9" t="str">
        <x:v>https://www.facebook.com/ads/library/?active_status=all&amp;ad_type=all&amp;country=DE&amp;is_targeted_country=false&amp;media_type=all&amp;q=Desktronic&amp;search_type=keyword_unordered&amp;sort_data[mode]=total_impressions&amp;sort_data[direction]=desc</x:v>
      </x:c>
      <x:c r="N66" s="9" t="str">
        <x:v>短摘录；完整标题/正文需回原平台查看。空字段表示未公开或未读取。</x:v>
      </x:c>
    </x:row>
    <x:row r="67" ht="115" customHeight="1">
      <x:c r="A67" s="9" t="str">
        <x:v>DESK-MAD-1410195800539377</x:v>
      </x:c>
      <x:c r="B67" s="9" t="str">
        <x:v>DESK-META-1410195800539377</x:v>
      </x:c>
      <x:c r="C67" s="9" t="str">
        <x:v>Desktronic</x:v>
      </x:c>
      <x:c r="D67" s="9" t="str">
        <x:v>Meta</x:v>
      </x:c>
      <x:c r="E67" s="9" t="str">
        <x:v>Desktronic</x:v>
      </x:c>
      <x:c r="F67" s="10" t="d">
        <x:v>2026-09-28T00:00:00.000Z</x:v>
      </x:c>
      <x:c r="G67" s="10"/>
      <x:c r="H67" s="9" t="str">
        <x:v>投放中（采集日页面状态）</x:v>
      </x:c>
      <x:c r="I67" s="9" t="str">
        <x:v>德国公开列表中投放中，采集日可见；未公开停止日期</x:v>
      </x:c>
      <x:c r="J67" s="9" t="str">
        <x:v>HomePro Schreibtisch Schwarz / Walnuss / 160x80 cm</x:v>
      </x:c>
      <x:c r="K67" s="9" t="str">
        <x:v>Upgrade dein Homeoffice dieses Jahr mit verstellbaren Schreibtischen, Stühlen und Zubehör. DESKTRONIC.DE HomePro Schreibtisch Schwarz / Walnuss …</x:v>
      </x:c>
      <x:c r="L67" s="9" t="str">
        <x:v>https://desktronic.de/products/homepro?variant=42626563997885</x:v>
      </x:c>
      <x:c r="M67" s="9" t="str">
        <x:v>https://www.facebook.com/ads/library/?active_status=all&amp;ad_type=all&amp;country=DE&amp;is_targeted_country=false&amp;media_type=all&amp;q=Desktronic&amp;search_type=keyword_unordered&amp;sort_data[mode]=total_impressions&amp;sort_data[direction]=desc</x:v>
      </x:c>
      <x:c r="N67" s="9" t="str">
        <x:v>短摘录；完整标题/正文需回原平台查看。空字段表示未公开或未读取。</x:v>
      </x:c>
    </x:row>
    <x:row r="68" ht="115" customHeight="1">
      <x:c r="A68" s="9" t="str">
        <x:v>YAAS-MAD-4706898742970032</x:v>
      </x:c>
      <x:c r="B68" s="9" t="str">
        <x:v>YAAS-META-4706898742970032</x:v>
      </x:c>
      <x:c r="C68" s="9" t="str">
        <x:v>Yaasa</x:v>
      </x:c>
      <x:c r="D68" s="9" t="str">
        <x:v>Meta</x:v>
      </x:c>
      <x:c r="E68" s="9" t="str">
        <x:v>Yaasa</x:v>
      </x:c>
      <x:c r="F68" s="10" t="d">
        <x:v>2026-08-20T00:00:00.000Z</x:v>
      </x:c>
      <x:c r="G68" s="10" t="d">
        <x:v>2026-09-27T00:00:00.000Z</x:v>
      </x:c>
      <x:c r="H68" s="9" t="str">
        <x:v>已停止</x:v>
      </x:c>
      <x:c r="I68" s="9" t="str">
        <x:v>德国公开列表的起止日期与研究窗口相交</x:v>
      </x:c>
      <x:c r="J68" s="9" t="str">
        <x:v>Zufriedene Teams, weniger Ausfälle ✅</x:v>
      </x:c>
      <x:c r="K68" s="9" t="str">
        <x:v>SPOILER... Ein richtig eingestellter Arbeitsplatz macht den Unterschied. 💡 Mitarbeiter sind seltener krank und zufriedener im Job. Beides hängt öfter …</x:v>
      </x:c>
      <x:c r="L68" s="9" t="str">
        <x:v>https://yaasa.com/pages/lead-magnets/ergonomie-quick-wins</x:v>
      </x:c>
      <x:c r="M68" s="9" t="str">
        <x:v>https://www.facebook.com/ads/library/?active_status=all&amp;ad_type=all&amp;country=DE&amp;is_targeted_country=false&amp;media_type=all&amp;q=Yaasa&amp;search_type=keyword_unordered&amp;sort_data[mode]=total_impressions&amp;sort_data[direction]=desc</x:v>
      </x:c>
      <x:c r="N68" s="9" t="str">
        <x:v>短摘录；完整标题/正文需回原平台查看。空字段表示未公开或未读取。</x:v>
      </x:c>
    </x:row>
  </x:sheetData>
  <x:pageMargins left="0.7" right="0.7" top="0.75" bottom="0.75" header="0.3" footer="0.3"/>
  <x:tableParts count="1">
    <x:tablePart xmlns:r="http://schemas.openxmlformats.org/officeDocument/2006/relationships" r:id="R1f36bb96c3f64726"/>
  </x:tableParts>
</x:worksheet>
</file>

<file path=xl/worksheets/sheet4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7" hidden="0" customWidth="1"/>
    <x:col min="3" max="3" width="47" hidden="0" customWidth="1"/>
    <x:col min="4" max="4" width="65" hidden="0" customWidth="1"/>
    <x:col min="5" max="5" width="75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访问与排除日志</x:v>
      </x:c>
      <x:c r="B2" s="2"/>
      <x:c r="C2" s="2"/>
      <x:c r="D2" s="2"/>
      <x:c r="E2" s="2"/>
    </x:row>
    <x:row r="3">
      <x:c r="A3" s="2"/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4" customHeight="1">
      <x:c r="A5" s="7" t="str">
        <x:v>平台</x:v>
      </x:c>
      <x:c r="B5" s="7" t="str">
        <x:v>对象</x:v>
      </x:c>
      <x:c r="C5" s="7" t="str">
        <x:v>检查</x:v>
      </x:c>
      <x:c r="D5" s="7" t="str">
        <x:v>结果</x:v>
      </x:c>
      <x:c r="E5" s="7" t="str">
        <x:v>限制与处理</x:v>
      </x:c>
    </x:row>
    <x:row r="6" ht="100" customHeight="1">
      <x:c r="A6" s="9" t="str">
        <x:v>Google</x:v>
      </x:c>
      <x:c r="B6" s="9" t="str">
        <x:v>五品牌</x:v>
      </x:c>
      <x:c r="C6" s="9" t="str">
        <x:v>德国+2026-09-16至10-15+图片格式</x:v>
      </x:c>
      <x:c r="D6" s="9" t="str">
        <x:v>56条记录，53张去重图</x:v>
      </x:c>
      <x:c r="E6" s="9" t="str">
        <x:v>日期按PT；不是完整广告普查</x:v>
      </x:c>
    </x:row>
    <x:row r="7" ht="100" customHeight="1">
      <x:c r="A7" s="9" t="str">
        <x:v>Google</x:v>
      </x:c>
      <x:c r="B7" s="9" t="str">
        <x:v>单条详情</x:v>
      </x:c>
      <x:c r="C7" s="9" t="str">
        <x:v>首次/最后公开日期</x:v>
      </x:c>
      <x:c r="D7" s="9" t="str">
        <x:v>38/56条完整；18条仅列表窗口</x:v>
      </x:c>
      <x:c r="E7" s="9" t="str">
        <x:v>后期429并提示不要重试，已停止</x:v>
      </x:c>
    </x:row>
    <x:row r="8" ht="100" customHeight="1">
      <x:c r="A8" s="9" t="str">
        <x:v>Meta</x:v>
      </x:c>
      <x:c r="B8" s="9" t="str">
        <x:v>五品牌关键词</x:v>
      </x:c>
      <x:c r="C8" s="9" t="str">
        <x:v>德国公开列表及逐条时间交集</x:v>
      </x:c>
      <x:c r="D8" s="9" t="str">
        <x:v>7条静态图，来自3品牌</x:v>
      </x:c>
      <x:c r="E8" s="9" t="str">
        <x:v>FlexiSpot/Songmics未取得合格近期静态样本</x:v>
      </x:c>
    </x:row>
    <x:row r="9" ht="100" customHeight="1">
      <x:c r="A9" s="9" t="str">
        <x:v>Meta</x:v>
      </x:c>
      <x:c r="B9" s="9" t="str">
        <x:v>详情链接</x:v>
      </x:c>
      <x:c r="C9" s="9" t="str">
        <x:v>一条观察到的编号深链</x:v>
      </x:c>
      <x:c r="D9" s="9" t="str">
        <x:v>返回广告不存在</x:v>
      </x:c>
      <x:c r="E9" s="9" t="str">
        <x:v>使用原搜索页+广告编号+本地原图追溯</x:v>
      </x:c>
    </x:row>
    <x:row r="10" ht="100" customHeight="1">
      <x:c r="A10" s="9" t="str">
        <x:v>质量排除</x:v>
      </x:c>
      <x:c r="B10" s="9" t="str">
        <x:v>候选素材</x:v>
      </x:c>
      <x:c r="C10" s="9" t="str">
        <x:v>图像、品类与日期检查</x:v>
      </x:c>
      <x:c r="D10" s="9" t="str">
        <x:v>排除错误图、图标、空白、视频、窗口外</x:v>
      </x:c>
      <x:c r="E10" s="9" t="str">
        <x:v>不以官网图补足A类数量</x:v>
      </x:c>
    </x:row>
    <x:row r="11" ht="100" customHeight="1">
      <x:c r="A11" s="9" t="str">
        <x:v>Furniwell</x:v>
      </x:c>
      <x:c r="B11" s="9" t="str">
        <x:v>产品参考</x:v>
      </x:c>
      <x:c r="C11" s="9" t="str">
        <x:v>6个尺寸/产品组合</x:v>
      </x:c>
      <x:c r="D11" s="9" t="str">
        <x:v>公开变体available=true</x:v>
      </x:c>
      <x:c r="E11" s="9" t="str">
        <x:v>官网产品图不计竞品广告</x:v>
      </x:c>
    </x:row>
    <x:row r="12" ht="100" customHeight="1">
      <x:c r="A12" s="9" t="str">
        <x:v>样本边界</x:v>
      </x:c>
      <x:c r="B12" s="9" t="str">
        <x:v>全部</x:v>
      </x:c>
      <x:c r="C12" s="9" t="str">
        <x:v>A/B/C与邻近素材</x:v>
      </x:c>
      <x:c r="D12" s="9" t="str">
        <x:v>A60、B0、C0；邻近办公素材6张</x:v>
      </x:c>
      <x:c r="E12" s="9" t="str">
        <x:v>无转化数据、无预算或广告系列归属推断</x:v>
      </x:c>
    </x:row>
  </x:sheetData>
  <x:pageMargins left="0.7" right="0.7" top="0.75" bottom="0.75" header="0.3" footer="0.3"/>
  <x:tableParts count="1">
    <x:tablePart xmlns:r="http://schemas.openxmlformats.org/officeDocument/2006/relationships" r:id="R7ad70a4eed7f4b76"/>
  </x:tableParts>
</x:worksheet>
</file>