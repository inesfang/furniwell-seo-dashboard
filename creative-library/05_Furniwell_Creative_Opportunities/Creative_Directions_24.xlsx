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35bf0a979e4c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ores" sheetId="1" r:id="R83f029759a4242a9"/>
    <x:sheet xmlns:r="http://schemas.openxmlformats.org/officeDocument/2006/relationships" name="Briefs" sheetId="2" r:id="Ree9a73eb24844dde"/>
    <x:sheet xmlns:r="http://schemas.openxmlformats.org/officeDocument/2006/relationships" name="Products" sheetId="3" r:id="R259e3e3afa9f44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@"/>
  </x:numFmts>
  <x:fonts count="4">
    <x:font>
      <x:sz val="11"/>
      <x:name val="Carlito"/>
    </x:font>
    <x:font>
      <x:sz val="11"/>
      <x:color rgb="FF243347"/>
      <x:name val="Noto Sans CJK SC"/>
    </x:font>
    <x:font>
      <x:b/>
      <x:sz val="16"/>
      <x:color rgb="FF243347"/>
      <x:name val="Noto Sans CJK SC"/>
    </x:font>
    <x:font>
      <x:b/>
      <x:sz val="11"/>
      <x:color rgb="FFFFFFFF"/>
      <x:name val="Noto Sans CJK SC"/>
    </x:font>
  </x:fonts>
  <x:fills count="4">
    <x:fill>
      <x:patternFill patternType="none"/>
    </x:fill>
    <x:fill>
      <x:patternFill patternType="gray125"/>
    </x:fill>
    <x:fill>
      <x:patternFill patternType="solid">
        <x:fgColor rgb="FF243B5A"/>
      </x:patternFill>
    </x:fill>
    <x:fill>
      <x:patternFill patternType="solid">
        <x:fgColor rgb="FFFFF6D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200" fontId="1" fillId="3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ont>
        <x:b/>
        <x:color rgb="FF243B5A"/>
      </x:font>
      <x:fill>
        <x:patternFill patternType="solid">
          <x:bgColor rgb="FFDFE9F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e3fc79e9cf44f7" /><Relationship Type="http://schemas.openxmlformats.org/officeDocument/2006/relationships/theme" Target="/xl/theme/theme1.xml" Id="R67641f4928f34323" /><Relationship Type="http://schemas.openxmlformats.org/officeDocument/2006/relationships/sharedStrings" Target="/xl/sharedStrings.xml" Id="Rbdc67542d30b42b5" /><Relationship Type="http://schemas.openxmlformats.org/officeDocument/2006/relationships/worksheet" Target="/xl/worksheets/sheet1.xml" Id="R83f029759a4242a9" /><Relationship Type="http://schemas.openxmlformats.org/officeDocument/2006/relationships/worksheet" Target="/xl/worksheets/sheet2.xml" Id="Ree9a73eb24844dde" /><Relationship Type="http://schemas.openxmlformats.org/officeDocument/2006/relationships/worksheet" Target="/xl/worksheets/sheet3.xml" Id="R259e3e3afa9f44e4" /></Relationships>
</file>

<file path=xl/tables/table1.xml><?xml version="1.0" encoding="utf-8"?>
<x:table xmlns:x="http://schemas.openxmlformats.org/spreadsheetml/2006/main" id="1" name="ResearchTable7" displayName="ResearchTable7" ref="A5:N29" headerRowCount="1" totalsRowCount="0" totalsRowShown="0">
  <x:autoFilter ref="A5:N29"/>
  <x:tableColumns count="14">
    <x:tableColumn id="1" name="Creative_ID"/>
    <x:tableColumn id="2" name="创意名称"/>
    <x:tableColumn id="3" name="对应产品"/>
    <x:tableColumn id="4" name="产品30"/>
    <x:tableColumn id="5" name="需求25"/>
    <x:tableColumn id="6" name="参考20"/>
    <x:tableColumn id="7" name="差异15"/>
    <x:tableColumn id="8" name="制作10"/>
    <x:tableColumn id="9" name="总分100"/>
    <x:tableColumn id="10" name="排名"/>
    <x:tableColumn id="11" name="优先级"/>
    <x:tableColumn id="12" name="推荐渠道"/>
    <x:tableColumn id="13" name="比例"/>
    <x:tableColumn id="14" name="参考Material_I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searchTable8" displayName="ResearchTable8" ref="A5:X29" headerRowCount="1" totalsRowCount="0" totalsRowShown="0">
  <x:autoFilter ref="A5:X29"/>
  <x:tableColumns count="24">
    <x:tableColumn id="1" name="Creative_ID"/>
    <x:tableColumn id="2" name="创意名称"/>
    <x:tableColumn id="3" name="产品ID"/>
    <x:tableColumn id="4" name="目标用户"/>
    <x:tableColumn id="5" name="用户需求"/>
    <x:tableColumn id="6" name="核心卖点"/>
    <x:tableColumn id="7" name="机会类型"/>
    <x:tableColumn id="8" name="对标品牌"/>
    <x:tableColumn id="9" name="参考Material_ID"/>
    <x:tableColumn id="10" name="参考什么"/>
    <x:tableColumn id="11" name="为什么参考"/>
    <x:tableColumn id="12" name="如何差异化"/>
    <x:tableColumn id="13" name="具体场景"/>
    <x:tableColumn id="14" name="画面构图"/>
    <x:tableColumn id="15" name="人物与动作"/>
    <x:tableColumn id="16" name="渠道"/>
    <x:tableColumn id="17" name="比例"/>
    <x:tableColumn id="18" name="德语主题"/>
    <x:tableColumn id="19" name="产品资格依据"/>
    <x:tableColumn id="20" name="禁用与待复核宣称"/>
    <x:tableColumn id="21" name="需求证据"/>
    <x:tableColumn id="22" name="参考图片"/>
    <x:tableColumn id="23" name="原广告来源"/>
    <x:tableColumn id="24" name="证据边界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searchTable9" displayName="ResearchTable9" ref="A5:J11" headerRowCount="1" totalsRowCount="0" totalsRowShown="0">
  <x:autoFilter ref="A5:J11"/>
  <x:tableColumns count="10">
    <x:tableColumn id="1" name="Product_ID"/>
    <x:tableColumn id="2" name="产品与尺寸"/>
    <x:tableColumn id="3" name="SKU"/>
    <x:tableColumn id="4" name="变体ID"/>
    <x:tableColumn id="5" name="在售快照"/>
    <x:tableColumn id="6" name="已核验事实"/>
    <x:tableColumn id="7" name="规格冲突与边界"/>
    <x:tableColumn id="8" name="视觉锁定"/>
    <x:tableColumn id="9" name="官方变体"/>
    <x:tableColumn id="10" name="官方原图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44223c55e9e43e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f8a3b55d03f4c8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34f7f74845e44e9" /></Relationships>
</file>

<file path=xl/worksheets/sheet1.xml><?xml version="1.0" encoding="utf-8"?>
<x:worksheet xmlns:x="http://schemas.openxmlformats.org/spreadsheetml/2006/main">
  <x:sheetPr>
    <x:tabColor rgb="FF243B5A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9" hidden="0" customWidth="1"/>
    <x:col min="2" max="2" width="46" hidden="0" customWidth="1"/>
    <x:col min="3" max="3" width="65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5" hidden="0" customWidth="1"/>
    <x:col min="10" max="10" width="12" hidden="0" customWidth="1"/>
    <x:col min="11" max="11" width="22" hidden="0" customWidth="1"/>
    <x:col min="12" max="12" width="58" hidden="0" customWidth="1"/>
    <x:col min="13" max="13" width="36" hidden="0" customWidth="1"/>
    <x:col min="14" max="14" width="8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>
      <x:c r="A2" s="3" t="str">
        <x:v>24个创意方向与可编辑评分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>
      <x:c r="A3" s="2" t="str">
        <x:v>黄色评分可编辑。改分后按排名列升序排序；HTML为研究时快照。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34" customHeight="1">
      <x:c r="A5" s="7" t="str">
        <x:v>Creative_ID</x:v>
      </x:c>
      <x:c r="B5" s="7" t="str">
        <x:v>创意名称</x:v>
      </x:c>
      <x:c r="C5" s="7" t="str">
        <x:v>对应产品</x:v>
      </x:c>
      <x:c r="D5" s="7" t="str">
        <x:v>产品30</x:v>
      </x:c>
      <x:c r="E5" s="7" t="str">
        <x:v>需求25</x:v>
      </x:c>
      <x:c r="F5" s="7" t="str">
        <x:v>参考20</x:v>
      </x:c>
      <x:c r="G5" s="7" t="str">
        <x:v>差异15</x:v>
      </x:c>
      <x:c r="H5" s="7" t="str">
        <x:v>制作10</x:v>
      </x:c>
      <x:c r="I5" s="7" t="str">
        <x:v>总分100</x:v>
      </x:c>
      <x:c r="J5" s="7" t="str">
        <x:v>排名</x:v>
      </x:c>
      <x:c r="K5" s="7" t="str">
        <x:v>优先级</x:v>
      </x:c>
      <x:c r="L5" s="7" t="str">
        <x:v>推荐渠道</x:v>
      </x:c>
      <x:c r="M5" s="7" t="str">
        <x:v>比例</x:v>
      </x:c>
      <x:c r="N5" s="7" t="str">
        <x:v>参考Material_ID</x:v>
      </x:c>
    </x:row>
    <x:row r="6" ht="105" customHeight="1">
      <x:c r="A6" s="9" t="str">
        <x:v>FW-C11</x:v>
      </x:c>
      <x:c r="B6" s="9" t="str">
        <x:v>打印、核对、输入，一条桌面流程</x:v>
      </x:c>
      <x:c r="C6" s="9" t="str">
        <x:v>Dual Ultra X 白色 180×80 cm</x:v>
      </x:c>
      <x:c r="D6" s="11" t="n">
        <x:v>30</x:v>
      </x:c>
      <x:c r="E6" s="11" t="n">
        <x:v>24</x:v>
      </x:c>
      <x:c r="F6" s="11" t="n">
        <x:v>18</x:v>
      </x:c>
      <x:c r="G6" s="11" t="n">
        <x:v>13</x:v>
      </x:c>
      <x:c r="H6" s="11" t="n">
        <x:v>9</x:v>
      </x:c>
      <x:c r="I6" s="12" t="n">
        <x:f>IF(COUNT(D6:H6)=5,SUM(D6:H6),"待评分")</x:f>
        <x:v>94</x:v>
      </x:c>
      <x:c r="J6" s="12" t="n">
        <x:f>IF(ISNUMBER(I6),COUNTIFS($I$6:$I$29,"&gt;"&amp;I6)+COUNTIFS($I$6:I6,I6),"待评分")</x:f>
        <x:v>1</x:v>
      </x:c>
      <x:c r="K6" s="9" t="str">
        <x:f>IF(ISNUMBER(J6),IF(J6&lt;=10,"第一批 Top 10",IF(J6&lt;=18,"第二批","探索批")),"待评分")</x:f>
        <x:v>第一批 Top 10</x:v>
      </x:c>
      <x:c r="L6" s="9" t="str">
        <x:v>Google PMax 图片资产；Meta Feed</x:v>
      </x:c>
      <x:c r="M6" s="9" t="str">
        <x:v>1.91:1、4:5</x:v>
      </x:c>
      <x:c r="N6" s="9" t="str">
        <x:v>SONG-GOOG-027;FLEX-GOOG-036</x:v>
      </x:c>
    </x:row>
    <x:row r="7" ht="105" customHeight="1">
      <x:c r="A7" s="9" t="str">
        <x:v>FW-C24</x:v>
      </x:c>
      <x:c r="B7" s="9" t="str">
        <x:v>桌架价格里到底包含什么</x:v>
      </x:c>
      <x:c r="C7" s="9" t="str">
        <x:v>Einzelmotor 白色电动升降桌架</x:v>
      </x:c>
      <x:c r="D7" s="11" t="n">
        <x:v>30</x:v>
      </x:c>
      <x:c r="E7" s="11" t="n">
        <x:v>24</x:v>
      </x:c>
      <x:c r="F7" s="11" t="n">
        <x:v>17</x:v>
      </x:c>
      <x:c r="G7" s="11" t="n">
        <x:v>14</x:v>
      </x:c>
      <x:c r="H7" s="11" t="n">
        <x:v>9</x:v>
      </x:c>
      <x:c r="I7" s="12" t="n">
        <x:f>IF(COUNT(D7:H7)=5,SUM(D7:H7),"待评分")</x:f>
        <x:v>94</x:v>
      </x:c>
      <x:c r="J7" s="12" t="n">
        <x:f>IF(ISNUMBER(I7),COUNTIFS($I$6:$I$29,"&gt;"&amp;I7)+COUNTIFS($I$6:I7,I7),"待评分")</x:f>
        <x:v>2</x:v>
      </x:c>
      <x:c r="K7" s="9" t="str">
        <x:f>IF(ISNUMBER(J7),IF(J7&lt;=10,"第一批 Top 10",IF(J7&lt;=18,"第二批","探索批")),"待评分")</x:f>
        <x:v>第一批 Top 10</x:v>
      </x:c>
      <x:c r="L7" s="9" t="str">
        <x:v>Meta Feed主方案；Google PMax需另做干净单幅版本</x:v>
      </x:c>
      <x:c r="M7" s="9" t="str">
        <x:v>1:1、1.91:1</x:v>
      </x:c>
      <x:c r="N7" s="9" t="str">
        <x:v>FLEX-GOOG-077;DESK-GOOG-031;SONG-GOOG-074</x:v>
      </x:c>
    </x:row>
    <x:row r="8" ht="105" customHeight="1">
      <x:c r="A8" s="9" t="str">
        <x:v>FW-C02</x:v>
      </x:c>
      <x:c r="B8" s="9" t="str">
        <x:v>180厘米双屏并行任务台</x:v>
      </x:c>
      <x:c r="C8" s="9" t="str">
        <x:v>Dual Ultra X 白色 180×80 cm</x:v>
      </x:c>
      <x:c r="D8" s="11" t="n">
        <x:v>30</x:v>
      </x:c>
      <x:c r="E8" s="11" t="n">
        <x:v>24</x:v>
      </x:c>
      <x:c r="F8" s="11" t="n">
        <x:v>17</x:v>
      </x:c>
      <x:c r="G8" s="11" t="n">
        <x:v>12</x:v>
      </x:c>
      <x:c r="H8" s="11" t="n">
        <x:v>9</x:v>
      </x:c>
      <x:c r="I8" s="12" t="n">
        <x:f>IF(COUNT(D8:H8)=5,SUM(D8:H8),"待评分")</x:f>
        <x:v>92</x:v>
      </x:c>
      <x:c r="J8" s="12" t="n">
        <x:f>IF(ISNUMBER(I8),COUNTIFS($I$6:$I$29,"&gt;"&amp;I8)+COUNTIFS($I$6:I8,I8),"待评分")</x:f>
        <x:v>3</x:v>
      </x:c>
      <x:c r="K8" s="9" t="str">
        <x:f>IF(ISNUMBER(J8),IF(J8&lt;=10,"第一批 Top 10",IF(J8&lt;=18,"第二批","探索批")),"待评分")</x:f>
        <x:v>第一批 Top 10</x:v>
      </x:c>
      <x:c r="L8" s="9" t="str">
        <x:v>Google PMax 图片资产；Meta Feed</x:v>
      </x:c>
      <x:c r="M8" s="9" t="str">
        <x:v>1.91:1、4:5</x:v>
      </x:c>
      <x:c r="N8" s="9" t="str">
        <x:v>FLEX-GOOG-036;SONG-GOOG-027</x:v>
      </x:c>
    </x:row>
    <x:row r="9" ht="105" customHeight="1">
      <x:c r="A9" s="9" t="str">
        <x:v>FW-C05</x:v>
      </x:c>
      <x:c r="B9" s="9" t="str">
        <x:v>同一个人的坐站工作节奏</x:v>
      </x:c>
      <x:c r="C9" s="9" t="str">
        <x:v>Economy Solid 白色 120×60 cm</x:v>
      </x:c>
      <x:c r="D9" s="11" t="n">
        <x:v>30</x:v>
      </x:c>
      <x:c r="E9" s="11" t="n">
        <x:v>25</x:v>
      </x:c>
      <x:c r="F9" s="11" t="n">
        <x:v>16</x:v>
      </x:c>
      <x:c r="G9" s="11" t="n">
        <x:v>12</x:v>
      </x:c>
      <x:c r="H9" s="11" t="n">
        <x:v>9</x:v>
      </x:c>
      <x:c r="I9" s="12" t="n">
        <x:f>IF(COUNT(D9:H9)=5,SUM(D9:H9),"待评分")</x:f>
        <x:v>92</x:v>
      </x:c>
      <x:c r="J9" s="12" t="n">
        <x:f>IF(ISNUMBER(I9),COUNTIFS($I$6:$I$29,"&gt;"&amp;I9)+COUNTIFS($I$6:I9,I9),"待评分")</x:f>
        <x:v>4</x:v>
      </x:c>
      <x:c r="K9" s="9" t="str">
        <x:f>IF(ISNUMBER(J9),IF(J9&lt;=10,"第一批 Top 10",IF(J9&lt;=18,"第二批","探索批")),"待评分")</x:f>
        <x:v>第一批 Top 10</x:v>
      </x:c>
      <x:c r="L9" s="9" t="str">
        <x:v>Meta Feed主方案；Google PMax需另做干净单幅版本</x:v>
      </x:c>
      <x:c r="M9" s="9" t="str">
        <x:v>1:1、1.91:1</x:v>
      </x:c>
      <x:c r="N9" s="9" t="str">
        <x:v>ERGO-GOOG-043;FLEX-GOOG-041</x:v>
      </x:c>
    </x:row>
    <x:row r="10" ht="105" customHeight="1">
      <x:c r="A10" s="9" t="str">
        <x:v>FW-C06</x:v>
      </x:c>
      <x:c r="B10" s="9" t="str">
        <x:v>一只手找到自己的常用高度</x:v>
      </x:c>
      <x:c r="C10" s="9" t="str">
        <x:v>Economy Solid 白色 140×70 cm</x:v>
      </x:c>
      <x:c r="D10" s="11" t="n">
        <x:v>30</x:v>
      </x:c>
      <x:c r="E10" s="11" t="n">
        <x:v>24</x:v>
      </x:c>
      <x:c r="F10" s="11" t="n">
        <x:v>17</x:v>
      </x:c>
      <x:c r="G10" s="11" t="n">
        <x:v>12</x:v>
      </x:c>
      <x:c r="H10" s="11" t="n">
        <x:v>9</x:v>
      </x:c>
      <x:c r="I10" s="12" t="n">
        <x:f>IF(COUNT(D10:H10)=5,SUM(D10:H10),"待评分")</x:f>
        <x:v>92</x:v>
      </x:c>
      <x:c r="J10" s="12" t="n">
        <x:f>IF(ISNUMBER(I10),COUNTIFS($I$6:$I$29,"&gt;"&amp;I10)+COUNTIFS($I$6:I10,I10),"待评分")</x:f>
        <x:v>5</x:v>
      </x:c>
      <x:c r="K10" s="9" t="str">
        <x:f>IF(ISNUMBER(J10),IF(J10&lt;=10,"第一批 Top 10",IF(J10&lt;=18,"第二批","探索批")),"待评分")</x:f>
        <x:v>第一批 Top 10</x:v>
      </x:c>
      <x:c r="L10" s="9" t="str">
        <x:v>Meta Feed主方案；Google PMax需另做干净单幅版本</x:v>
      </x:c>
      <x:c r="M10" s="9" t="str">
        <x:v>1:1、4:5</x:v>
      </x:c>
      <x:c r="N10" s="9" t="str">
        <x:v>ERGO-GOOG-026;SONG-GOOG-074;ERGO-GOOG-066</x:v>
      </x:c>
    </x:row>
    <x:row r="11" ht="105" customHeight="1">
      <x:c r="A11" s="9" t="str">
        <x:v>FW-C09</x:v>
      </x:c>
      <x:c r="B11" s="9" t="str">
        <x:v>120、140还是180，按任务选尺寸</x:v>
      </x:c>
      <x:c r="C11" s="9" t="str">
        <x:v>Economy Solid 白色 120×60 cm;Economy Solid 白色 140×70 cm;Dual Ultra X 白色 180×80 cm</x:v>
      </x:c>
      <x:c r="D11" s="11" t="n">
        <x:v>30</x:v>
      </x:c>
      <x:c r="E11" s="11" t="n">
        <x:v>24</x:v>
      </x:c>
      <x:c r="F11" s="11" t="n">
        <x:v>17</x:v>
      </x:c>
      <x:c r="G11" s="11" t="n">
        <x:v>13</x:v>
      </x:c>
      <x:c r="H11" s="11" t="n">
        <x:v>8</x:v>
      </x:c>
      <x:c r="I11" s="12" t="n">
        <x:f>IF(COUNT(D11:H11)=5,SUM(D11:H11),"待评分")</x:f>
        <x:v>92</x:v>
      </x:c>
      <x:c r="J11" s="12" t="n">
        <x:f>IF(ISNUMBER(I11),COUNTIFS($I$6:$I$29,"&gt;"&amp;I11)+COUNTIFS($I$6:I11,I11),"待评分")</x:f>
        <x:v>6</x:v>
      </x:c>
      <x:c r="K11" s="9" t="str">
        <x:f>IF(ISNUMBER(J11),IF(J11&lt;=10,"第一批 Top 10",IF(J11&lt;=18,"第二批","探索批")),"待评分")</x:f>
        <x:v>第一批 Top 10</x:v>
      </x:c>
      <x:c r="L11" s="9" t="str">
        <x:v>Meta Feed主方案；Google PMax需另做干净单幅版本</x:v>
      </x:c>
      <x:c r="M11" s="9" t="str">
        <x:v>1.91:1、1:1</x:v>
      </x:c>
      <x:c r="N11" s="9" t="str">
        <x:v>ERGO-GOOG-002;ERGO-GOOG-052;DESK-GOOG-011</x:v>
      </x:c>
    </x:row>
    <x:row r="12" ht="105" customHeight="1">
      <x:c r="A12" s="9" t="str">
        <x:v>FW-C04</x:v>
      </x:c>
      <x:c r="B12" s="9" t="str">
        <x:v>保留熟悉桌板，升级坐站方式</x:v>
      </x:c>
      <x:c r="C12" s="9" t="str">
        <x:v>Einzelmotor 白色电动升降桌架</x:v>
      </x:c>
      <x:c r="D12" s="11" t="n">
        <x:v>29</x:v>
      </x:c>
      <x:c r="E12" s="11" t="n">
        <x:v>24</x:v>
      </x:c>
      <x:c r="F12" s="11" t="n">
        <x:v>15</x:v>
      </x:c>
      <x:c r="G12" s="11" t="n">
        <x:v>15</x:v>
      </x:c>
      <x:c r="H12" s="11" t="n">
        <x:v>8</x:v>
      </x:c>
      <x:c r="I12" s="12" t="n">
        <x:f>IF(COUNT(D12:H12)=5,SUM(D12:H12),"待评分")</x:f>
        <x:v>91</x:v>
      </x:c>
      <x:c r="J12" s="12" t="n">
        <x:f>IF(ISNUMBER(I12),COUNTIFS($I$6:$I$29,"&gt;"&amp;I12)+COUNTIFS($I$6:I12,I12),"待评分")</x:f>
        <x:v>7</x:v>
      </x:c>
      <x:c r="K12" s="9" t="str">
        <x:f>IF(ISNUMBER(J12),IF(J12&lt;=10,"第一批 Top 10",IF(J12&lt;=18,"第二批","探索批")),"待评分")</x:f>
        <x:v>第一批 Top 10</x:v>
      </x:c>
      <x:c r="L12" s="9" t="str">
        <x:v>Meta Feed主方案；Google PMax需另做干净单幅版本</x:v>
      </x:c>
      <x:c r="M12" s="9" t="str">
        <x:v>1.91:1、1:1</x:v>
      </x:c>
      <x:c r="N12" s="9" t="str">
        <x:v>DESK-GOOG-031;SONG-GOOG-074;FLEX-GOOG-077</x:v>
      </x:c>
    </x:row>
    <x:row r="13" ht="105" customHeight="1">
      <x:c r="A13" s="9" t="str">
        <x:v>FW-C07</x:v>
      </x:c>
      <x:c r="B13" s="9" t="str">
        <x:v>深色空间里的白色桌子</x:v>
      </x:c>
      <x:c r="C13" s="9" t="str">
        <x:v>Dual Ultra X 白色 140×70 cm</x:v>
      </x:c>
      <x:c r="D13" s="11" t="n">
        <x:v>29</x:v>
      </x:c>
      <x:c r="E13" s="11" t="n">
        <x:v>21</x:v>
      </x:c>
      <x:c r="F13" s="11" t="n">
        <x:v>18</x:v>
      </x:c>
      <x:c r="G13" s="11" t="n">
        <x:v>13</x:v>
      </x:c>
      <x:c r="H13" s="11" t="n">
        <x:v>10</x:v>
      </x:c>
      <x:c r="I13" s="12" t="n">
        <x:f>IF(COUNT(D13:H13)=5,SUM(D13:H13),"待评分")</x:f>
        <x:v>91</x:v>
      </x:c>
      <x:c r="J13" s="12" t="n">
        <x:f>IF(ISNUMBER(I13),COUNTIFS($I$6:$I$29,"&gt;"&amp;I13)+COUNTIFS($I$6:I13,I13),"待评分")</x:f>
        <x:v>8</x:v>
      </x:c>
      <x:c r="K13" s="9" t="str">
        <x:f>IF(ISNUMBER(J13),IF(J13&lt;=10,"第一批 Top 10",IF(J13&lt;=18,"第二批","探索批")),"待评分")</x:f>
        <x:v>第一批 Top 10</x:v>
      </x:c>
      <x:c r="L13" s="9" t="str">
        <x:v>Meta Feed；Google PMax 图片资产</x:v>
      </x:c>
      <x:c r="M13" s="9" t="str">
        <x:v>4:5、1:1</x:v>
      </x:c>
      <x:c r="N13" s="9" t="str">
        <x:v>FLEX-GOOG-067;ERGO-META-2477194332778401</x:v>
      </x:c>
    </x:row>
    <x:row r="14" ht="105" customHeight="1">
      <x:c r="A14" s="9" t="str">
        <x:v>FW-C21</x:v>
      </x:c>
      <x:c r="B14" s="9" t="str">
        <x:v>站着开会，桌面任务接着做</x:v>
      </x:c>
      <x:c r="C14" s="9" t="str">
        <x:v>Economy Solid 白色 140×70 cm</x:v>
      </x:c>
      <x:c r="D14" s="11" t="n">
        <x:v>30</x:v>
      </x:c>
      <x:c r="E14" s="11" t="n">
        <x:v>23</x:v>
      </x:c>
      <x:c r="F14" s="11" t="n">
        <x:v>16</x:v>
      </x:c>
      <x:c r="G14" s="11" t="n">
        <x:v>13</x:v>
      </x:c>
      <x:c r="H14" s="11" t="n">
        <x:v>9</x:v>
      </x:c>
      <x:c r="I14" s="12" t="n">
        <x:f>IF(COUNT(D14:H14)=5,SUM(D14:H14),"待评分")</x:f>
        <x:v>91</x:v>
      </x:c>
      <x:c r="J14" s="12" t="n">
        <x:f>IF(ISNUMBER(I14),COUNTIFS($I$6:$I$29,"&gt;"&amp;I14)+COUNTIFS($I$6:I14,I14),"待评分")</x:f>
        <x:v>9</x:v>
      </x:c>
      <x:c r="K14" s="9" t="str">
        <x:f>IF(ISNUMBER(J14),IF(J14&lt;=10,"第一批 Top 10",IF(J14&lt;=18,"第二批","探索批")),"待评分")</x:f>
        <x:v>第一批 Top 10</x:v>
      </x:c>
      <x:c r="L14" s="9" t="str">
        <x:v>Meta Feed；Google PMax 图片资产</x:v>
      </x:c>
      <x:c r="M14" s="9" t="str">
        <x:v>4:5、1.91:1</x:v>
      </x:c>
      <x:c r="N14" s="9" t="str">
        <x:v>YAAS-GOOG-016;ERGO-GOOG-043;ERGO-GOOG-026</x:v>
      </x:c>
    </x:row>
    <x:row r="15" ht="105" customHeight="1">
      <x:c r="A15" s="9" t="str">
        <x:v>FW-C01</x:v>
      </x:c>
      <x:c r="B15" s="9" t="str">
        <x:v>120厘米也有独立工作区</x:v>
      </x:c>
      <x:c r="C15" s="9" t="str">
        <x:v>Economy Solid 白色 120×60 cm</x:v>
      </x:c>
      <x:c r="D15" s="11" t="n">
        <x:v>29</x:v>
      </x:c>
      <x:c r="E15" s="11" t="n">
        <x:v>23</x:v>
      </x:c>
      <x:c r="F15" s="11" t="n">
        <x:v>15</x:v>
      </x:c>
      <x:c r="G15" s="11" t="n">
        <x:v>14</x:v>
      </x:c>
      <x:c r="H15" s="11" t="n">
        <x:v>9</x:v>
      </x:c>
      <x:c r="I15" s="12" t="n">
        <x:f>IF(COUNT(D15:H15)=5,SUM(D15:H15),"待评分")</x:f>
        <x:v>90</x:v>
      </x:c>
      <x:c r="J15" s="12" t="n">
        <x:f>IF(ISNUMBER(I15),COUNTIFS($I$6:$I$29,"&gt;"&amp;I15)+COUNTIFS($I$6:I15,I15),"待评分")</x:f>
        <x:v>10</x:v>
      </x:c>
      <x:c r="K15" s="9" t="str">
        <x:f>IF(ISNUMBER(J15),IF(J15&lt;=10,"第一批 Top 10",IF(J15&lt;=18,"第二批","探索批")),"待评分")</x:f>
        <x:v>第一批 Top 10</x:v>
      </x:c>
      <x:c r="L15" s="9" t="str">
        <x:v>Meta Feed主方案；Google PMax需另做干净单幅版本</x:v>
      </x:c>
      <x:c r="M15" s="9" t="str">
        <x:v>4:5、1:1；另构图适配1.91:1</x:v>
      </x:c>
      <x:c r="N15" s="9" t="str">
        <x:v>FLEX-GOOG-012;FLEX-GOOG-096</x:v>
      </x:c>
    </x:row>
    <x:row r="16" ht="105" customHeight="1">
      <x:c r="A16" s="9" t="str">
        <x:v>FW-C03</x:v>
      </x:c>
      <x:c r="B16" s="9" t="str">
        <x:v>一体白桌板上的A3草图</x:v>
      </x:c>
      <x:c r="C16" s="9" t="str">
        <x:v>Economy Solid 白色 140×70 cm</x:v>
      </x:c>
      <x:c r="D16" s="11" t="n">
        <x:v>30</x:v>
      </x:c>
      <x:c r="E16" s="11" t="n">
        <x:v>23</x:v>
      </x:c>
      <x:c r="F16" s="11" t="n">
        <x:v>14</x:v>
      </x:c>
      <x:c r="G16" s="11" t="n">
        <x:v>14</x:v>
      </x:c>
      <x:c r="H16" s="11" t="n">
        <x:v>9</x:v>
      </x:c>
      <x:c r="I16" s="12" t="n">
        <x:f>IF(COUNT(D16:H16)=5,SUM(D16:H16),"待评分")</x:f>
        <x:v>90</x:v>
      </x:c>
      <x:c r="J16" s="12" t="n">
        <x:f>IF(ISNUMBER(I16),COUNTIFS($I$6:$I$29,"&gt;"&amp;I16)+COUNTIFS($I$6:I16,I16),"待评分")</x:f>
        <x:v>11</x:v>
      </x:c>
      <x:c r="K16" s="9" t="str">
        <x:f>IF(ISNUMBER(J16),IF(J16&lt;=10,"第一批 Top 10",IF(J16&lt;=18,"第二批","探索批")),"待评分")</x:f>
        <x:v>第二批</x:v>
      </x:c>
      <x:c r="L16" s="9" t="str">
        <x:v>Meta Feed；Google PMax 图片资产</x:v>
      </x:c>
      <x:c r="M16" s="9" t="str">
        <x:v>1:1、4:5</x:v>
      </x:c>
      <x:c r="N16" s="9" t="str">
        <x:v>FLEX-GOOG-012;ERGO-GOOG-046</x:v>
      </x:c>
    </x:row>
    <x:row r="17" ht="105" customHeight="1">
      <x:c r="A17" s="9" t="str">
        <x:v>FW-C08</x:v>
      </x:c>
      <x:c r="B17" s="9" t="str">
        <x:v>两个人，各自合适的工作高度</x:v>
      </x:c>
      <x:c r="C17" s="9" t="str">
        <x:v>Dual Ultra X 白色 140×70 cm</x:v>
      </x:c>
      <x:c r="D17" s="11" t="n">
        <x:v>29</x:v>
      </x:c>
      <x:c r="E17" s="11" t="n">
        <x:v>22</x:v>
      </x:c>
      <x:c r="F17" s="11" t="n">
        <x:v>17</x:v>
      </x:c>
      <x:c r="G17" s="11" t="n">
        <x:v>14</x:v>
      </x:c>
      <x:c r="H17" s="11" t="n">
        <x:v>8</x:v>
      </x:c>
      <x:c r="I17" s="12" t="n">
        <x:f>IF(COUNT(D17:H17)=5,SUM(D17:H17),"待评分")</x:f>
        <x:v>90</x:v>
      </x:c>
      <x:c r="J17" s="12" t="n">
        <x:f>IF(ISNUMBER(I17),COUNTIFS($I$6:$I$29,"&gt;"&amp;I17)+COUNTIFS($I$6:I17,I17),"待评分")</x:f>
        <x:v>12</x:v>
      </x:c>
      <x:c r="K17" s="9" t="str">
        <x:f>IF(ISNUMBER(J17),IF(J17&lt;=10,"第一批 Top 10",IF(J17&lt;=18,"第二批","探索批")),"待评分")</x:f>
        <x:v>第二批</x:v>
      </x:c>
      <x:c r="L17" s="9" t="str">
        <x:v>Meta Feed；面向办公室意图的Google PMax图片资产</x:v>
      </x:c>
      <x:c r="M17" s="9" t="str">
        <x:v>1.91:1、4:5</x:v>
      </x:c>
      <x:c r="N17" s="9" t="str">
        <x:v>YAAS-GOOG-016;YAAS-GOOG-015;FLEX-GOOG-151</x:v>
      </x:c>
    </x:row>
    <x:row r="18" ht="105" customHeight="1">
      <x:c r="A18" s="9" t="str">
        <x:v>FW-C16</x:v>
      </x:c>
      <x:c r="B18" s="9" t="str">
        <x:v>140厘米的周计划桌面</x:v>
      </x:c>
      <x:c r="C18" s="9" t="str">
        <x:v>Economy Solid 白色 140×70 cm</x:v>
      </x:c>
      <x:c r="D18" s="11" t="n">
        <x:v>29</x:v>
      </x:c>
      <x:c r="E18" s="11" t="n">
        <x:v>23</x:v>
      </x:c>
      <x:c r="F18" s="11" t="n">
        <x:v>15</x:v>
      </x:c>
      <x:c r="G18" s="11" t="n">
        <x:v>14</x:v>
      </x:c>
      <x:c r="H18" s="11" t="n">
        <x:v>8</x:v>
      </x:c>
      <x:c r="I18" s="12" t="n">
        <x:f>IF(COUNT(D18:H18)=5,SUM(D18:H18),"待评分")</x:f>
        <x:v>89</x:v>
      </x:c>
      <x:c r="J18" s="12" t="n">
        <x:f>IF(ISNUMBER(I18),COUNTIFS($I$6:$I$29,"&gt;"&amp;I18)+COUNTIFS($I$6:I18,I18),"待评分")</x:f>
        <x:v>13</x:v>
      </x:c>
      <x:c r="K18" s="9" t="str">
        <x:f>IF(ISNUMBER(J18),IF(J18&lt;=10,"第一批 Top 10",IF(J18&lt;=18,"第二批","探索批")),"待评分")</x:f>
        <x:v>第二批</x:v>
      </x:c>
      <x:c r="L18" s="9" t="str">
        <x:v>Google PMax 图片资产；Meta Feed</x:v>
      </x:c>
      <x:c r="M18" s="9" t="str">
        <x:v>1.91:1、4:5</x:v>
      </x:c>
      <x:c r="N18" s="9" t="str">
        <x:v>FLEX-GOOG-067;SONG-GOOG-027</x:v>
      </x:c>
    </x:row>
    <x:row r="19" ht="105" customHeight="1">
      <x:c r="A19" s="9" t="str">
        <x:v>FW-C19</x:v>
      </x:c>
      <x:c r="B19" s="9" t="str">
        <x:v>照片选片与设备整理台</x:v>
      </x:c>
      <x:c r="C19" s="9" t="str">
        <x:v>Dual Ultra X 白色 180×80 cm</x:v>
      </x:c>
      <x:c r="D19" s="11" t="n">
        <x:v>29</x:v>
      </x:c>
      <x:c r="E19" s="11" t="n">
        <x:v>22</x:v>
      </x:c>
      <x:c r="F19" s="11" t="n">
        <x:v>16</x:v>
      </x:c>
      <x:c r="G19" s="11" t="n">
        <x:v>14</x:v>
      </x:c>
      <x:c r="H19" s="11" t="n">
        <x:v>8</x:v>
      </x:c>
      <x:c r="I19" s="12" t="n">
        <x:f>IF(COUNT(D19:H19)=5,SUM(D19:H19),"待评分")</x:f>
        <x:v>89</x:v>
      </x:c>
      <x:c r="J19" s="12" t="n">
        <x:f>IF(ISNUMBER(I19),COUNTIFS($I$6:$I$29,"&gt;"&amp;I19)+COUNTIFS($I$6:I19,I19),"待评分")</x:f>
        <x:v>14</x:v>
      </x:c>
      <x:c r="K19" s="9" t="str">
        <x:f>IF(ISNUMBER(J19),IF(J19&lt;=10,"第一批 Top 10",IF(J19&lt;=18,"第二批","探索批")),"待评分")</x:f>
        <x:v>第二批</x:v>
      </x:c>
      <x:c r="L19" s="9" t="str">
        <x:v>Meta Feed；Google PMax 图片资产</x:v>
      </x:c>
      <x:c r="M19" s="9" t="str">
        <x:v>1.91:1、4:5</x:v>
      </x:c>
      <x:c r="N19" s="9" t="str">
        <x:v>FLEX-GOOG-057;SONG-GOOG-003</x:v>
      </x:c>
    </x:row>
    <x:row r="20" ht="105" customHeight="1">
      <x:c r="A20" s="9" t="str">
        <x:v>FW-C14</x:v>
      </x:c>
      <x:c r="B20" s="9" t="str">
        <x:v>同一张大桌，白天工作晚上游戏</x:v>
      </x:c>
      <x:c r="C20" s="9" t="str">
        <x:v>Dual Ultra X 白色 180×80 cm</x:v>
      </x:c>
      <x:c r="D20" s="11" t="n">
        <x:v>28</x:v>
      </x:c>
      <x:c r="E20" s="11" t="n">
        <x:v>22</x:v>
      </x:c>
      <x:c r="F20" s="11" t="n">
        <x:v>17</x:v>
      </x:c>
      <x:c r="G20" s="11" t="n">
        <x:v>13</x:v>
      </x:c>
      <x:c r="H20" s="11" t="n">
        <x:v>8</x:v>
      </x:c>
      <x:c r="I20" s="12" t="n">
        <x:f>IF(COUNT(D20:H20)=5,SUM(D20:H20),"待评分")</x:f>
        <x:v>88</x:v>
      </x:c>
      <x:c r="J20" s="12" t="n">
        <x:f>IF(ISNUMBER(I20),COUNTIFS($I$6:$I$29,"&gt;"&amp;I20)+COUNTIFS($I$6:I20,I20),"待评分")</x:f>
        <x:v>15</x:v>
      </x:c>
      <x:c r="K20" s="9" t="str">
        <x:f>IF(ISNUMBER(J20),IF(J20&lt;=10,"第一批 Top 10",IF(J20&lt;=18,"第二批","探索批")),"待评分")</x:f>
        <x:v>第二批</x:v>
      </x:c>
      <x:c r="L20" s="9" t="str">
        <x:v>Meta Feed</x:v>
      </x:c>
      <x:c r="M20" s="9" t="str">
        <x:v>4:5、1:1</x:v>
      </x:c>
      <x:c r="N20" s="9" t="str">
        <x:v>FLEX-GOOG-121;SONG-GOOG-024</x:v>
      </x:c>
    </x:row>
    <x:row r="21" ht="105" customHeight="1">
      <x:c r="A21" s="9" t="str">
        <x:v>FW-C15</x:v>
      </x:c>
      <x:c r="B21" s="9" t="str">
        <x:v>旧桌面升级前后的同一机位</x:v>
      </x:c>
      <x:c r="C21" s="9" t="str">
        <x:v>Einzelmotor 白色电动升降桌架</x:v>
      </x:c>
      <x:c r="D21" s="11" t="n">
        <x:v>29</x:v>
      </x:c>
      <x:c r="E21" s="11" t="n">
        <x:v>24</x:v>
      </x:c>
      <x:c r="F21" s="11" t="n">
        <x:v>14</x:v>
      </x:c>
      <x:c r="G21" s="11" t="n">
        <x:v>14</x:v>
      </x:c>
      <x:c r="H21" s="11" t="n">
        <x:v>7</x:v>
      </x:c>
      <x:c r="I21" s="12" t="n">
        <x:f>IF(COUNT(D21:H21)=5,SUM(D21:H21),"待评分")</x:f>
        <x:v>88</x:v>
      </x:c>
      <x:c r="J21" s="12" t="n">
        <x:f>IF(ISNUMBER(I21),COUNTIFS($I$6:$I$29,"&gt;"&amp;I21)+COUNTIFS($I$6:I21,I21),"待评分")</x:f>
        <x:v>16</x:v>
      </x:c>
      <x:c r="K21" s="9" t="str">
        <x:f>IF(ISNUMBER(J21),IF(J21&lt;=10,"第一批 Top 10",IF(J21&lt;=18,"第二批","探索批")),"待评分")</x:f>
        <x:v>第二批</x:v>
      </x:c>
      <x:c r="L21" s="9" t="str">
        <x:v>Meta Feed主方案；Google PMax需另做干净单幅版本</x:v>
      </x:c>
      <x:c r="M21" s="9" t="str">
        <x:v>1:1、1.91:1</x:v>
      </x:c>
      <x:c r="N21" s="9" t="str">
        <x:v>DESK-GOOG-031;FLEX-GOOG-077</x:v>
      </x:c>
    </x:row>
    <x:row r="22" ht="105" customHeight="1">
      <x:c r="A22" s="9" t="str">
        <x:v>FW-C18</x:v>
      </x:c>
      <x:c r="B22" s="9" t="str">
        <x:v>看得见的腿部和起身空间</x:v>
      </x:c>
      <x:c r="C22" s="9" t="str">
        <x:v>Economy Solid 白色 120×60 cm</x:v>
      </x:c>
      <x:c r="D22" s="11" t="n">
        <x:v>29</x:v>
      </x:c>
      <x:c r="E22" s="11" t="n">
        <x:v>22</x:v>
      </x:c>
      <x:c r="F22" s="11" t="n">
        <x:v>14</x:v>
      </x:c>
      <x:c r="G22" s="11" t="n">
        <x:v>14</x:v>
      </x:c>
      <x:c r="H22" s="11" t="n">
        <x:v>9</x:v>
      </x:c>
      <x:c r="I22" s="12" t="n">
        <x:f>IF(COUNT(D22:H22)=5,SUM(D22:H22),"待评分")</x:f>
        <x:v>88</x:v>
      </x:c>
      <x:c r="J22" s="12" t="n">
        <x:f>IF(ISNUMBER(I22),COUNTIFS($I$6:$I$29,"&gt;"&amp;I22)+COUNTIFS($I$6:I22,I22),"待评分")</x:f>
        <x:v>17</x:v>
      </x:c>
      <x:c r="K22" s="9" t="str">
        <x:f>IF(ISNUMBER(J22),IF(J22&lt;=10,"第一批 Top 10",IF(J22&lt;=18,"第二批","探索批")),"待评分")</x:f>
        <x:v>第二批</x:v>
      </x:c>
      <x:c r="L22" s="9" t="str">
        <x:v>Meta Feed</x:v>
      </x:c>
      <x:c r="M22" s="9" t="str">
        <x:v>4:5、1:1</x:v>
      </x:c>
      <x:c r="N22" s="9" t="str">
        <x:v>FLEX-GOOG-096;DESK-GOOG-002</x:v>
      </x:c>
    </x:row>
    <x:row r="23" ht="105" customHeight="1">
      <x:c r="A23" s="9" t="str">
        <x:v>FW-C10</x:v>
      </x:c>
      <x:c r="B23" s="9" t="str">
        <x:v>客厅里的工作角到下班状态</x:v>
      </x:c>
      <x:c r="C23" s="9" t="str">
        <x:v>Economy Solid 白色 120×60 cm</x:v>
      </x:c>
      <x:c r="D23" s="11" t="n">
        <x:v>29</x:v>
      </x:c>
      <x:c r="E23" s="11" t="n">
        <x:v>22</x:v>
      </x:c>
      <x:c r="F23" s="11" t="n">
        <x:v>15</x:v>
      </x:c>
      <x:c r="G23" s="11" t="n">
        <x:v>13</x:v>
      </x:c>
      <x:c r="H23" s="11" t="n">
        <x:v>8</x:v>
      </x:c>
      <x:c r="I23" s="12" t="n">
        <x:f>IF(COUNT(D23:H23)=5,SUM(D23:H23),"待评分")</x:f>
        <x:v>87</x:v>
      </x:c>
      <x:c r="J23" s="12" t="n">
        <x:f>IF(ISNUMBER(I23),COUNTIFS($I$6:$I$29,"&gt;"&amp;I23)+COUNTIFS($I$6:I23,I23),"待评分")</x:f>
        <x:v>18</x:v>
      </x:c>
      <x:c r="K23" s="9" t="str">
        <x:f>IF(ISNUMBER(J23),IF(J23&lt;=10,"第一批 Top 10",IF(J23&lt;=18,"第二批","探索批")),"待评分")</x:f>
        <x:v>第二批</x:v>
      </x:c>
      <x:c r="L23" s="9" t="str">
        <x:v>Meta Feed</x:v>
      </x:c>
      <x:c r="M23" s="9" t="str">
        <x:v>4:5、1:1</x:v>
      </x:c>
      <x:c r="N23" s="9" t="str">
        <x:v>FLEX-GOOG-151;DESK-META-980177638167248</x:v>
      </x:c>
    </x:row>
    <x:row r="24" ht="105" customHeight="1">
      <x:c r="A24" s="9" t="str">
        <x:v>FW-C12</x:v>
      </x:c>
      <x:c r="B24" s="9" t="str">
        <x:v>白桌也能成为手作工作台</x:v>
      </x:c>
      <x:c r="C24" s="9" t="str">
        <x:v>Economy Solid 白色 140×70 cm</x:v>
      </x:c>
      <x:c r="D24" s="11" t="n">
        <x:v>28</x:v>
      </x:c>
      <x:c r="E24" s="11" t="n">
        <x:v>22</x:v>
      </x:c>
      <x:c r="F24" s="11" t="n">
        <x:v>15</x:v>
      </x:c>
      <x:c r="G24" s="11" t="n">
        <x:v>14</x:v>
      </x:c>
      <x:c r="H24" s="11" t="n">
        <x:v>8</x:v>
      </x:c>
      <x:c r="I24" s="12" t="n">
        <x:f>IF(COUNT(D24:H24)=5,SUM(D24:H24),"待评分")</x:f>
        <x:v>87</x:v>
      </x:c>
      <x:c r="J24" s="12" t="n">
        <x:f>IF(ISNUMBER(I24),COUNTIFS($I$6:$I$29,"&gt;"&amp;I24)+COUNTIFS($I$6:I24,I24),"待评分")</x:f>
        <x:v>19</x:v>
      </x:c>
      <x:c r="K24" s="9" t="str">
        <x:f>IF(ISNUMBER(J24),IF(J24&lt;=10,"第一批 Top 10",IF(J24&lt;=18,"第二批","探索批")),"待评分")</x:f>
        <x:v>探索批</x:v>
      </x:c>
      <x:c r="L24" s="9" t="str">
        <x:v>Meta Feed</x:v>
      </x:c>
      <x:c r="M24" s="9" t="str">
        <x:v>4:5、1:1</x:v>
      </x:c>
      <x:c r="N24" s="9" t="str">
        <x:v>FLEX-GOOG-012;FLEX-GOOG-143</x:v>
      </x:c>
    </x:row>
    <x:row r="25" ht="105" customHeight="1">
      <x:c r="A25" s="9" t="str">
        <x:v>FW-C20</x:v>
      </x:c>
      <x:c r="B25" s="9" t="str">
        <x:v>成人进修的晚间工作角</x:v>
      </x:c>
      <x:c r="C25" s="9" t="str">
        <x:v>Economy Solid 白色 120×60 cm</x:v>
      </x:c>
      <x:c r="D25" s="11" t="n">
        <x:v>29</x:v>
      </x:c>
      <x:c r="E25" s="11" t="n">
        <x:v>21</x:v>
      </x:c>
      <x:c r="F25" s="11" t="n">
        <x:v>14</x:v>
      </x:c>
      <x:c r="G25" s="11" t="n">
        <x:v>14</x:v>
      </x:c>
      <x:c r="H25" s="11" t="n">
        <x:v>9</x:v>
      </x:c>
      <x:c r="I25" s="12" t="n">
        <x:f>IF(COUNT(D25:H25)=5,SUM(D25:H25),"待评分")</x:f>
        <x:v>87</x:v>
      </x:c>
      <x:c r="J25" s="12" t="n">
        <x:f>IF(ISNUMBER(I25),COUNTIFS($I$6:$I$29,"&gt;"&amp;I25)+COUNTIFS($I$6:I25,I25),"待评分")</x:f>
        <x:v>20</x:v>
      </x:c>
      <x:c r="K25" s="9" t="str">
        <x:f>IF(ISNUMBER(J25),IF(J25&lt;=10,"第一批 Top 10",IF(J25&lt;=18,"第二批","探索批")),"待评分")</x:f>
        <x:v>探索批</x:v>
      </x:c>
      <x:c r="L25" s="9" t="str">
        <x:v>Meta Feed</x:v>
      </x:c>
      <x:c r="M25" s="9" t="str">
        <x:v>4:5、1:1</x:v>
      </x:c>
      <x:c r="N25" s="9" t="str">
        <x:v>FLEX-GOOG-012;FLEX-GOOG-096</x:v>
      </x:c>
    </x:row>
    <x:row r="26" ht="105" customHeight="1">
      <x:c r="A26" s="9" t="str">
        <x:v>FW-C22</x:v>
      </x:c>
      <x:c r="B26" s="9" t="str">
        <x:v>离开桌子的小休息</x:v>
      </x:c>
      <x:c r="C26" s="9" t="str">
        <x:v>Dual Ultra X 白色 140×70 cm</x:v>
      </x:c>
      <x:c r="D26" s="11" t="n">
        <x:v>28</x:v>
      </x:c>
      <x:c r="E26" s="11" t="n">
        <x:v>23</x:v>
      </x:c>
      <x:c r="F26" s="11" t="n">
        <x:v>13</x:v>
      </x:c>
      <x:c r="G26" s="11" t="n">
        <x:v>15</x:v>
      </x:c>
      <x:c r="H26" s="11" t="n">
        <x:v>8</x:v>
      </x:c>
      <x:c r="I26" s="12" t="n">
        <x:f>IF(COUNT(D26:H26)=5,SUM(D26:H26),"待评分")</x:f>
        <x:v>87</x:v>
      </x:c>
      <x:c r="J26" s="12" t="n">
        <x:f>IF(ISNUMBER(I26),COUNTIFS($I$6:$I$29,"&gt;"&amp;I26)+COUNTIFS($I$6:I26,I26),"待评分")</x:f>
        <x:v>21</x:v>
      </x:c>
      <x:c r="K26" s="9" t="str">
        <x:f>IF(ISNUMBER(J26),IF(J26&lt;=10,"第一批 Top 10",IF(J26&lt;=18,"第二批","探索批")),"待评分")</x:f>
        <x:v>探索批</x:v>
      </x:c>
      <x:c r="L26" s="9" t="str">
        <x:v>Meta Feed</x:v>
      </x:c>
      <x:c r="M26" s="9" t="str">
        <x:v>4:5、1.91:1</x:v>
      </x:c>
      <x:c r="N26" s="9" t="str">
        <x:v>ERGO-GOOG-043;ERGO-META-2477194332778401</x:v>
      </x:c>
    </x:row>
    <x:row r="27" ht="105" customHeight="1">
      <x:c r="A27" s="9" t="str">
        <x:v>FW-C23</x:v>
      </x:c>
      <x:c r="B27" s="9" t="str">
        <x:v>用完咖啡，桌面回到清爽状态</x:v>
      </x:c>
      <x:c r="C27" s="9" t="str">
        <x:v>Economy Solid 白色 140×70 cm</x:v>
      </x:c>
      <x:c r="D27" s="11" t="n">
        <x:v>29</x:v>
      </x:c>
      <x:c r="E27" s="11" t="n">
        <x:v>22</x:v>
      </x:c>
      <x:c r="F27" s="11" t="n">
        <x:v>14</x:v>
      </x:c>
      <x:c r="G27" s="11" t="n">
        <x:v>13</x:v>
      </x:c>
      <x:c r="H27" s="11" t="n">
        <x:v>9</x:v>
      </x:c>
      <x:c r="I27" s="12" t="n">
        <x:f>IF(COUNT(D27:H27)=5,SUM(D27:H27),"待评分")</x:f>
        <x:v>87</x:v>
      </x:c>
      <x:c r="J27" s="12" t="n">
        <x:f>IF(ISNUMBER(I27),COUNTIFS($I$6:$I$29,"&gt;"&amp;I27)+COUNTIFS($I$6:I27,I27),"待评分")</x:f>
        <x:v>22</x:v>
      </x:c>
      <x:c r="K27" s="9" t="str">
        <x:f>IF(ISNUMBER(J27),IF(J27&lt;=10,"第一批 Top 10",IF(J27&lt;=18,"第二批","探索批")),"待评分")</x:f>
        <x:v>探索批</x:v>
      </x:c>
      <x:c r="L27" s="9" t="str">
        <x:v>Meta Feed主方案；Google PMax需另做干净单幅版本</x:v>
      </x:c>
      <x:c r="M27" s="9" t="str">
        <x:v>1:1、4:5</x:v>
      </x:c>
      <x:c r="N27" s="9" t="str">
        <x:v>FLEX-GOOG-040;FLEX-GOOG-059</x:v>
      </x:c>
    </x:row>
    <x:row r="28" ht="105" customHeight="1">
      <x:c r="A28" s="9" t="str">
        <x:v>FW-C13</x:v>
      </x:c>
      <x:c r="B28" s="9" t="str">
        <x:v>入门工作台，把基础讲清楚</x:v>
      </x:c>
      <x:c r="C28" s="9" t="str">
        <x:v>Economy 白色 120×60 cm</x:v>
      </x:c>
      <x:c r="D28" s="11" t="n">
        <x:v>28</x:v>
      </x:c>
      <x:c r="E28" s="11" t="n">
        <x:v>22</x:v>
      </x:c>
      <x:c r="F28" s="11" t="n">
        <x:v>15</x:v>
      </x:c>
      <x:c r="G28" s="11" t="n">
        <x:v>11</x:v>
      </x:c>
      <x:c r="H28" s="11" t="n">
        <x:v>10</x:v>
      </x:c>
      <x:c r="I28" s="12" t="n">
        <x:f>IF(COUNT(D28:H28)=5,SUM(D28:H28),"待评分")</x:f>
        <x:v>86</x:v>
      </x:c>
      <x:c r="J28" s="12" t="n">
        <x:f>IF(ISNUMBER(I28),COUNTIFS($I$6:$I$29,"&gt;"&amp;I28)+COUNTIFS($I$6:I28,I28),"待评分")</x:f>
        <x:v>23</x:v>
      </x:c>
      <x:c r="K28" s="9" t="str">
        <x:f>IF(ISNUMBER(J28),IF(J28&lt;=10,"第一批 Top 10",IF(J28&lt;=18,"第二批","探索批")),"待评分")</x:f>
        <x:v>探索批</x:v>
      </x:c>
      <x:c r="L28" s="9" t="str">
        <x:v>Google PMax 图片资产；Meta Feed</x:v>
      </x:c>
      <x:c r="M28" s="9" t="str">
        <x:v>1:1、1.91:1</x:v>
      </x:c>
      <x:c r="N28" s="9" t="str">
        <x:v>DESK-GOOG-008;ERGO-GOOG-037</x:v>
      </x:c>
    </x:row>
    <x:row r="29" ht="105" customHeight="1">
      <x:c r="A29" s="9" t="str">
        <x:v>FW-C17</x:v>
      </x:c>
      <x:c r="B29" s="9" t="str">
        <x:v>企业采购先看适配清单</x:v>
      </x:c>
      <x:c r="C29" s="9" t="str">
        <x:v>Einzelmotor 白色电动升降桌架</x:v>
      </x:c>
      <x:c r="D29" s="11" t="n">
        <x:v>27</x:v>
      </x:c>
      <x:c r="E29" s="11" t="n">
        <x:v>22</x:v>
      </x:c>
      <x:c r="F29" s="11" t="n">
        <x:v>14</x:v>
      </x:c>
      <x:c r="G29" s="11" t="n">
        <x:v>15</x:v>
      </x:c>
      <x:c r="H29" s="11" t="n">
        <x:v>8</x:v>
      </x:c>
      <x:c r="I29" s="12" t="n">
        <x:f>IF(COUNT(D29:H29)=5,SUM(D29:H29),"待评分")</x:f>
        <x:v>86</x:v>
      </x:c>
      <x:c r="J29" s="12" t="n">
        <x:f>IF(ISNUMBER(I29),COUNTIFS($I$6:$I$29,"&gt;"&amp;I29)+COUNTIFS($I$6:I29,I29),"待评分")</x:f>
        <x:v>24</x:v>
      </x:c>
      <x:c r="K29" s="9" t="str">
        <x:f>IF(ISNUMBER(J29),IF(J29&lt;=10,"第一批 Top 10",IF(J29&lt;=18,"第二批","探索批")),"待评分")</x:f>
        <x:v>探索批</x:v>
      </x:c>
      <x:c r="L29" s="9" t="str">
        <x:v>Meta Feed主方案；Google PMax需另做干净单幅版本</x:v>
      </x:c>
      <x:c r="M29" s="9" t="str">
        <x:v>1.91:1、1:1</x:v>
      </x:c>
      <x:c r="N29" s="9" t="str">
        <x:v>YAAS-GOOG-017;YAAS-META-4706898742970032;DESK-GOOG-031</x:v>
      </x:c>
    </x:row>
  </x:sheetData>
  <x:conditionalFormatting sqref="K6:K29">
    <x:cfRule type="expression" dxfId="0" priority="1">
      <x:formula>$J6&lt;=10</x:formula>
    </x:cfRule>
  </x:conditionalFormatting>
  <x:dataValidations count="5">
    <x:dataValidation type="whole" operator="between" sqref="D6:D29">
      <x:formula1>0</x:formula1>
      <x:formula2>30</x:formula2>
    </x:dataValidation>
    <x:dataValidation type="whole" operator="between" sqref="E6:E29">
      <x:formula1>0</x:formula1>
      <x:formula2>25</x:formula2>
    </x:dataValidation>
    <x:dataValidation type="whole" operator="between" sqref="F6:F29">
      <x:formula1>0</x:formula1>
      <x:formula2>20</x:formula2>
    </x:dataValidation>
    <x:dataValidation type="whole" operator="between" sqref="G6:G29">
      <x:formula1>0</x:formula1>
      <x:formula2>15</x:formula2>
    </x:dataValidation>
    <x:dataValidation type="whole" operator="between" sqref="H6:H29">
      <x:formula1>0</x:formula1>
      <x:formula2>10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744223c55e9e43e3"/>
  </x:tableParts>
</x:worksheet>
</file>

<file path=xl/worksheets/sheet2.xml><?xml version="1.0" encoding="utf-8"?>
<x:worksheet xmlns:x="http://schemas.openxmlformats.org/spreadsheetml/2006/main">
  <x:sheetPr>
    <x:tabColor rgb="FF243B5A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9" hidden="0" customWidth="1"/>
    <x:col min="2" max="2" width="46" hidden="0" customWidth="1"/>
    <x:col min="3" max="3" width="22" hidden="0" customWidth="1"/>
    <x:col min="4" max="4" width="55" hidden="0" customWidth="1"/>
    <x:col min="5" max="5" width="70" hidden="0" customWidth="1"/>
    <x:col min="6" max="6" width="55" hidden="0" customWidth="1"/>
    <x:col min="7" max="7" width="42" hidden="0" customWidth="1"/>
    <x:col min="8" max="8" width="38" hidden="0" customWidth="1"/>
    <x:col min="9" max="9" width="85" hidden="0" customWidth="1"/>
    <x:col min="10" max="10" width="95" hidden="0" customWidth="1"/>
    <x:col min="11" max="11" width="100" hidden="0" customWidth="1"/>
    <x:col min="12" max="12" width="100" hidden="0" customWidth="1"/>
    <x:col min="13" max="13" width="100" hidden="0" customWidth="1"/>
    <x:col min="14" max="14" width="110" hidden="0" customWidth="1"/>
    <x:col min="15" max="15" width="110" hidden="0" customWidth="1"/>
    <x:col min="16" max="16" width="65" hidden="0" customWidth="1"/>
    <x:col min="17" max="17" width="36" hidden="0" customWidth="1"/>
    <x:col min="18" max="18" width="75" hidden="0" customWidth="1"/>
    <x:col min="19" max="19" width="110" hidden="0" customWidth="1"/>
    <x:col min="20" max="20" width="110" hidden="0" customWidth="1"/>
    <x:col min="21" max="21" width="85" hidden="0" customWidth="1"/>
    <x:col min="22" max="22" width="90" hidden="0" customWidth="1"/>
    <x:col min="23" max="23" width="70" hidden="0" customWidth="1"/>
    <x:col min="24" max="24" width="9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</x:row>
    <x:row r="2">
      <x:c r="A2" s="3" t="str">
        <x:v>完整制作简报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</x:row>
    <x:row r="5" ht="34" customHeight="1">
      <x:c r="A5" s="7" t="str">
        <x:v>Creative_ID</x:v>
      </x:c>
      <x:c r="B5" s="7" t="str">
        <x:v>创意名称</x:v>
      </x:c>
      <x:c r="C5" s="7" t="str">
        <x:v>产品ID</x:v>
      </x:c>
      <x:c r="D5" s="7" t="str">
        <x:v>目标用户</x:v>
      </x:c>
      <x:c r="E5" s="7" t="str">
        <x:v>用户需求</x:v>
      </x:c>
      <x:c r="F5" s="7" t="str">
        <x:v>核心卖点</x:v>
      </x:c>
      <x:c r="G5" s="7" t="str">
        <x:v>机会类型</x:v>
      </x:c>
      <x:c r="H5" s="7" t="str">
        <x:v>对标品牌</x:v>
      </x:c>
      <x:c r="I5" s="7" t="str">
        <x:v>参考Material_ID</x:v>
      </x:c>
      <x:c r="J5" s="7" t="str">
        <x:v>参考什么</x:v>
      </x:c>
      <x:c r="K5" s="7" t="str">
        <x:v>为什么参考</x:v>
      </x:c>
      <x:c r="L5" s="7" t="str">
        <x:v>如何差异化</x:v>
      </x:c>
      <x:c r="M5" s="7" t="str">
        <x:v>具体场景</x:v>
      </x:c>
      <x:c r="N5" s="7" t="str">
        <x:v>画面构图</x:v>
      </x:c>
      <x:c r="O5" s="7" t="str">
        <x:v>人物与动作</x:v>
      </x:c>
      <x:c r="P5" s="7" t="str">
        <x:v>渠道</x:v>
      </x:c>
      <x:c r="Q5" s="7" t="str">
        <x:v>比例</x:v>
      </x:c>
      <x:c r="R5" s="7" t="str">
        <x:v>德语主题</x:v>
      </x:c>
      <x:c r="S5" s="7" t="str">
        <x:v>产品资格依据</x:v>
      </x:c>
      <x:c r="T5" s="7" t="str">
        <x:v>禁用与待复核宣称</x:v>
      </x:c>
      <x:c r="U5" s="7" t="str">
        <x:v>需求证据</x:v>
      </x:c>
      <x:c r="V5" s="7" t="str">
        <x:v>参考图片</x:v>
      </x:c>
      <x:c r="W5" s="7" t="str">
        <x:v>原广告来源</x:v>
      </x:c>
      <x:c r="X5" s="7" t="str">
        <x:v>证据边界</x:v>
      </x:c>
    </x:row>
    <x:row r="6" ht="220" customHeight="1">
      <x:c r="A6" s="9" t="str">
        <x:v>FW-C01</x:v>
      </x:c>
      <x:c r="B6" s="9" t="str">
        <x:v>120厘米也有独立工作区</x:v>
      </x:c>
      <x:c r="C6" s="9" t="str">
        <x:v>P1</x:v>
      </x:c>
      <x:c r="D6" s="9" t="str">
        <x:v>住小户型的混合办公者</x:v>
      </x:c>
      <x:c r="E6" s="9" t="str">
        <x:v>不占满卧室，也能保留电脑工作和起身空间</x:v>
      </x:c>
      <x:c r="F6" s="9" t="str">
        <x:v>120×60尺寸与电动坐站切换</x:v>
      </x:c>
      <x:c r="G6" s="9" t="str">
        <x:v>三：新使用场景</x:v>
      </x:c>
      <x:c r="H6" s="9" t="str">
        <x:v>FlexiSpot</x:v>
      </x:c>
      <x:c r="I6" s="9" t="str">
        <x:v>FLEX-GOOG-012;FLEX-GOOG-096</x:v>
      </x:c>
      <x:c r="J6" s="9" t="str">
        <x:v>借鉴床与桌同时入镜的空间关系，而非复刻床品或四脚结构</x:v>
      </x:c>
      <x:c r="K6" s="9" t="str">
        <x:v>小空间需求由小尺寸在售产品支持；德国居家办公有明确统计背景，具体房型是测试假设</x:v>
      </x:c>
      <x:c r="L6" s="9" t="str">
        <x:v>使用白色两脚实物；让门框与通道提供尺度，画面不以绿植作为主装饰</x:v>
      </x:c>
      <x:c r="M6" s="9" t="str">
        <x:v>约9平方米的卧室边缘，桌子靠短墙；门开启后仍有现实通路，床与衣柜不挡升降范围</x:v>
      </x:c>
      <x:c r="N6" s="9" t="str">
        <x:v>从门口斜向拍摄，桌占右侧约一半，左侧保留完整通道；加一张小平面示意只标120×60。渠道改版：PMax版只保留真实房间单幅画面，移除小平面图；尺寸信息放广告文字。</x:v>
      </x:c>
      <x:c r="O6" s="9" t="str">
        <x:v>约30岁远程职员坐姿整理一页任务清单；椅子和膝部空间可见</x:v>
      </x:c>
      <x:c r="P6" s="9" t="str">
        <x:v>Meta Feed主方案；Google PMax需另做干净单幅版本</x:v>
      </x:c>
      <x:c r="Q6" s="9" t="str">
        <x:v>4:5、1:1；另构图适配1.91:1</x:v>
      </x:c>
      <x:c r="R6" s="9" t="str">
        <x:v>Dein Arbeitsplatz auf 120 × 60 cm</x:v>
      </x:c>
      <x:c r="S6" s="9" t="str">
        <x:v>一体桌板；单电机；两组记忆高度；白桌白架；规格区承重70 kg；高度73–118 cm不含桌板</x:v>
      </x:c>
      <x:c r="T6" s="9" t="str">
        <x:v>描述段噪声&lt;50 dB与规格≤55 dB不一致，创意不引用分贝；不要混用Economy拼接板。</x:v>
      </x:c>
      <x:c r="U6" s="9" t="str">
        <x:v>N1+P1；房型与购买意图强弱尚未验证</x:v>
      </x:c>
      <x:c r="V6" s="9" t="str">
        <x:v>../01_Original_Competitor_Ads/FlexiSpot/Google/FLEX-GOOG-012.jpg</x:v>
      </x:c>
      <x:c r="W6" s="9" t="str">
        <x:v>https://adstransparency.google.com/advertiser/AR05859906800018522113/creative/CR03255810653201367041?region=DE&amp;start-date=2026-09-16&amp;end-date=2026-10-15&amp;format=IMAGE</x:v>
      </x:c>
      <x:c r="X6" s="9" t="str">
        <x:v>有A类实际图片参考；具体原创场景和转化效果尚待测试。图片参考体现视觉方法，不构成竞品效果数据。</x:v>
      </x:c>
    </x:row>
    <x:row r="7" ht="220" customHeight="1">
      <x:c r="A7" s="9" t="str">
        <x:v>FW-C02</x:v>
      </x:c>
      <x:c r="B7" s="9" t="str">
        <x:v>180厘米双屏并行任务台</x:v>
      </x:c>
      <x:c r="C7" s="9" t="str">
        <x:v>P3</x:v>
      </x:c>
      <x:c r="D7" s="9" t="str">
        <x:v>经常同时处理多个窗口的远程工作者</x:v>
      </x:c>
      <x:c r="E7" s="9" t="str">
        <x:v>双屏、笔记本与资料可以各有位置</x:v>
      </x:c>
      <x:c r="F7" s="9" t="str">
        <x:v>180×80大桌面</x:v>
      </x:c>
      <x:c r="G7" s="9" t="str">
        <x:v>一：成熟创意的新表现</x:v>
      </x:c>
      <x:c r="H7" s="9" t="str">
        <x:v>FlexiSpot|SONGMICS</x:v>
      </x:c>
      <x:c r="I7" s="9" t="str">
        <x:v>FLEX-GOOG-036;SONG-GOOG-027</x:v>
      </x:c>
      <x:c r="J7" s="9" t="str">
        <x:v>参考双屏与不同体积设备提供的容量参照</x:v>
      </x:c>
      <x:c r="K7" s="9" t="str">
        <x:v>多设备是样本中真实出现的用途；P3尺寸可核验，不能据静帧推断稳定性</x:v>
      </x:c>
      <x:c r="L7" s="9" t="str">
        <x:v>设备分成会议、资料、输入三区，不做竞品的满桌设备复制</x:v>
      </x:c>
      <x:c r="M7" s="9" t="str">
        <x:v>深蓝墙的独立书房，桌背后留线缆与升降空间</x:v>
      </x:c>
      <x:c r="N7" s="9" t="str">
        <x:v>从使用者左后上方拍约35°，画面包含双屏、笔记本与右边约一臂的空白资料区；不要让屏幕遮掉前沿控制器</x:v>
      </x:c>
      <x:c r="O7" s="9" t="str">
        <x:v>约35岁项目经理站姿在纸质项目表与右屏之间核对，双手自然</x:v>
      </x:c>
      <x:c r="P7" s="9" t="str">
        <x:v>Google PMax 图片资产；Meta Feed</x:v>
      </x:c>
      <x:c r="Q7" s="9" t="str">
        <x:v>1.91:1、4:5</x:v>
      </x:c>
      <x:c r="R7" s="9" t="str">
        <x:v>Mehr Platz für parallele Aufgaben</x:v>
      </x:c>
      <x:c r="S7" s="9" t="str">
        <x:v>白桌白架180×80在售变体；双电机；规格区高度60–125 cm不含桌板；多尺寸140/160/180/200 cm可选</x:v>
      </x:c>
      <x:c r="T7" s="9" t="str">
        <x:v>营销段落160 kg载荷与规格区动态120 kg/静态160 kg不同；不做重载数字广告，先复核。</x:v>
      </x:c>
      <x:c r="U7" s="9" t="str">
        <x:v>N1+N2+P3；不是德国双屏人群规模统计</x:v>
      </x:c>
      <x:c r="V7" s="9" t="str">
        <x:v>../01_Original_Competitor_Ads/FlexiSpot/Google/FLEX-GOOG-036.jpg</x:v>
      </x:c>
      <x:c r="W7" s="9" t="str">
        <x:v>https://adstransparency.google.com/advertiser/AR05859906800018522113/creative/CR08296844176885022721?region=DE&amp;start-date=2026-09-16&amp;end-date=2026-10-15&amp;format=IMAGE</x:v>
      </x:c>
      <x:c r="X7" s="9" t="str">
        <x:v>有A类实际图片参考；具体原创场景和转化效果尚待测试。图片参考体现视觉方法，不构成竞品效果数据。</x:v>
      </x:c>
    </x:row>
    <x:row r="8" ht="220" customHeight="1">
      <x:c r="A8" s="9" t="str">
        <x:v>FW-C03</x:v>
      </x:c>
      <x:c r="B8" s="9" t="str">
        <x:v>一体白桌板上的A3草图</x:v>
      </x:c>
      <x:c r="C8" s="9" t="str">
        <x:v>P2</x:v>
      </x:c>
      <x:c r="D8" s="9" t="str">
        <x:v>设计、手写或经常用纸张思考的用户</x:v>
      </x:c>
      <x:c r="E8" s="9" t="str">
        <x:v>键盘之外有平整连续的手写区域</x:v>
      </x:c>
      <x:c r="F8" s="9" t="str">
        <x:v>140×70一体桌板</x:v>
      </x:c>
      <x:c r="G8" s="9" t="str">
        <x:v>二：已有卖点的视觉强化</x:v>
      </x:c>
      <x:c r="H8" s="9" t="str">
        <x:v>FlexiSpot|Ergotopia</x:v>
      </x:c>
      <x:c r="I8" s="9" t="str">
        <x:v>FLEX-GOOG-012;ERGO-GOOG-046</x:v>
      </x:c>
      <x:c r="J8" s="9" t="str">
        <x:v>借鉴高位桌面观察与无遮挡台面；一体板事实来自P2，不来自竞品</x:v>
      </x:c>
      <x:c r="K8" s="9" t="str">
        <x:v>官方明确Solid一体板，纸张和键鼠是现实桌面任务；职业规模为假设</x:v>
      </x:c>
      <x:c r="L8" s="9" t="str">
        <x:v>白色台面上用A3草图、直尺和键鼠分区；不生成木纹或拼接缝</x:v>
      </x:c>
      <x:c r="M8" s="9" t="str">
        <x:v>带深灰软木公告板的设计工作角，背景只出现任务草稿</x:v>
      </x:c>
      <x:c r="N8" s="9" t="str">
        <x:v>相机约55°俯拍，仍看到前长边、右侧控制器和部分桌脚；A3纸平放，不能遮住整个产品</x:v>
      </x:c>
      <x:c r="O8" s="9" t="str">
        <x:v>约28岁设计师一只手压住纸边，另一只手用普通铅笔标注；不在桌面直接涂画</x:v>
      </x:c>
      <x:c r="P8" s="9" t="str">
        <x:v>Meta Feed；Google PMax 图片资产</x:v>
      </x:c>
      <x:c r="Q8" s="9" t="str">
        <x:v>1:1、4:5</x:v>
      </x:c>
      <x:c r="R8" s="9" t="str">
        <x:v>Eine durchgehende Fläche für deine Ideen</x:v>
      </x:c>
      <x:c r="S8" s="9" t="str">
        <x:v>一体桌板；单电机；两组记忆高度；白桌白架；对应140×70在售变体</x:v>
      </x:c>
      <x:c r="T8" s="9" t="str">
        <x:v>页面文案提到100–160 cm，但当前可选变体只核验100/120/140 cm；不把160 cm写成可售Solid。</x:v>
      </x:c>
      <x:c r="U8" s="9" t="str">
        <x:v>P2+N2；书写任务适配为产品推断</x:v>
      </x:c>
      <x:c r="V8" s="9" t="str">
        <x:v>../01_Original_Competitor_Ads/FlexiSpot/Google/FLEX-GOOG-012.jpg</x:v>
      </x:c>
      <x:c r="W8" s="9" t="str">
        <x:v>https://adstransparency.google.com/advertiser/AR05859906800018522113/creative/CR03255810653201367041?region=DE&amp;start-date=2026-09-16&amp;end-date=2026-10-15&amp;format=IMAGE</x:v>
      </x:c>
      <x:c r="X8" s="9" t="str">
        <x:v>有A类实际图片参考；具体原创场景和转化效果尚待测试。图片参考体现视觉方法，不构成竞品效果数据。</x:v>
      </x:c>
    </x:row>
    <x:row r="9" ht="220" customHeight="1">
      <x:c r="A9" s="9" t="str">
        <x:v>FW-C04</x:v>
      </x:c>
      <x:c r="B9" s="9" t="str">
        <x:v>保留熟悉桌板，升级坐站方式</x:v>
      </x:c>
      <x:c r="C9" s="9" t="str">
        <x:v>P4</x:v>
      </x:c>
      <x:c r="D9" s="9" t="str">
        <x:v>已有合适桌板、不想整桌更换的用户</x:v>
      </x:c>
      <x:c r="E9" s="9" t="str">
        <x:v>明确升级路径和安装前需要确认的条件</x:v>
      </x:c>
      <x:c r="F9" s="9" t="str">
        <x:v>独立电动桌架与适配范围</x:v>
      </x:c>
      <x:c r="G9" s="9" t="str">
        <x:v>三：新使用场景</x:v>
      </x:c>
      <x:c r="H9" s="9" t="str">
        <x:v>Desktronic|SONGMICS|FlexiSpot</x:v>
      </x:c>
      <x:c r="I9" s="9" t="str">
        <x:v>DESK-GOOG-031;SONG-GOOG-074;FLEX-GOOG-077</x:v>
      </x:c>
      <x:c r="J9" s="9" t="str">
        <x:v>参考纯桌架和控制器放大，以及“仅桌架”的商品边界提示</x:v>
      </x:c>
      <x:c r="K9" s="9" t="str">
        <x:v>Furniwell明确销售独立桌架；保留已有桌板的需求有产品用途支持，需求规模未知</x:v>
      </x:c>
      <x:c r="L9" s="9" t="str">
        <x:v>旧桌板的使用痕迹保留；用安装前检查卡解释宽深、板材、重量与孔位</x:v>
      </x:c>
      <x:c r="M9" s="9" t="str">
        <x:v>明亮的家庭工作间，地上有软垫和按原说明摆放的工具</x:v>
      </x:c>
      <x:c r="N9" s="9" t="str">
        <x:v>左边为经过检查的旧桌板，右边为白色P4，底部小图示意安装后成桌；三幅示意明确桌板不含在售桌架中。渠道改版：PMax版使用一张清晰裸桌架照片，不拼接安装三步；适配条件放广告文字与落地页。</x:v>
      </x:c>
      <x:c r="O9" s="9" t="str">
        <x:v>约40岁成年人拿卷尺测桌板，桌板放在稳固支撑上；不表演危险倒置或无支撑安装</x:v>
      </x:c>
      <x:c r="P9" s="9" t="str">
        <x:v>Meta Feed主方案；Google PMax需另做干净单幅版本</x:v>
      </x:c>
      <x:c r="Q9" s="9" t="str">
        <x:v>1.91:1、1:1</x:v>
      </x:c>
      <x:c r="R9" s="9" t="str">
        <x:v>Deine passende Tischplatte. Ein neues Gestell.</x:v>
      </x:c>
      <x:c r="S9" s="9" t="str">
        <x:v>白色在售变体；单电机；两组记忆高度；规格区72–118 cm；动态80 kg/静态100 kg；只售桌架</x:v>
      </x:c>
      <x:c r="T9" s="9" t="str">
        <x:v>正文还出现不同高度/宽度范围，兼容性按规格区并在制作前复核安装孔位、板材、重量；不可承诺适配任意旧桌板。</x:v>
      </x:c>
      <x:c r="U9" s="9" t="str">
        <x:v>P4；旧桌板升级需求为明确用途下的待测假设</x:v>
      </x:c>
      <x:c r="V9" s="9" t="str">
        <x:v>../01_Original_Competitor_Ads/Desktronic/Google/DESK-GOOG-031.jpg</x:v>
      </x:c>
      <x:c r="W9" s="9" t="str">
        <x:v>https://adstransparency.google.com/advertiser/AR09286273997568212993/creative/CR08479722372520214529?region=DE&amp;start-date=2026-09-16&amp;end-date=2026-10-15&amp;format=IMAGE</x:v>
      </x:c>
      <x:c r="X9" s="9" t="str">
        <x:v>有A类实际图片参考；具体原创场景和转化效果尚待测试。图片参考体现视觉方法，不构成竞品效果数据。</x:v>
      </x:c>
    </x:row>
    <x:row r="10" ht="220" customHeight="1">
      <x:c r="A10" s="9" t="str">
        <x:v>FW-C05</x:v>
      </x:c>
      <x:c r="B10" s="9" t="str">
        <x:v>同一个人的坐站工作节奏</x:v>
      </x:c>
      <x:c r="C10" s="9" t="str">
        <x:v>P1</x:v>
      </x:c>
      <x:c r="D10" s="9" t="str">
        <x:v>电脑工作时间较长的居家办公者</x:v>
      </x:c>
      <x:c r="E10" s="9" t="str">
        <x:v>方便改变工作姿势，不中断同一任务</x:v>
      </x:c>
      <x:c r="F10" s="9" t="str">
        <x:v>电动升降与两组记忆高度</x:v>
      </x:c>
      <x:c r="G10" s="9" t="str">
        <x:v>一：成熟创意的新表现</x:v>
      </x:c>
      <x:c r="H10" s="9" t="str">
        <x:v>Ergotopia|FlexiSpot</x:v>
      </x:c>
      <x:c r="I10" s="9" t="str">
        <x:v>ERGO-GOOG-043;FLEX-GOOG-041</x:v>
      </x:c>
      <x:c r="J10" s="9" t="str">
        <x:v>参考产品与操作解释并置；竞品静帧没有证明转换效果</x:v>
      </x:c>
      <x:c r="K10" s="9" t="str">
        <x:v>DGUV支持坐、站、移动交替；P1有两组记忆高度。不能承诺治疗疼痛或全天站立更健康</x:v>
      </x:c>
      <x:c r="L10" s="9" t="str">
        <x:v>用同一房间、同一人、同一桌面任务的两个静帧体现真实高度差</x:v>
      </x:c>
      <x:c r="M10" s="9" t="str">
        <x:v>浅灰墙小书房，背景有书柜而非窗帘绿植组合</x:v>
      </x:c>
      <x:c r="N10" s="9" t="str">
        <x:v>等宽双联图，左坐右站，机位和桌子透视固定；桌面设备、人物服装、镜像方向一致。渠道改版：PMax版单独使用站姿或坐姿的完整单幅使用画面，不上传双联拼图。</x:v>
      </x:c>
      <x:c r="O10" s="9" t="str">
        <x:v>约32岁办公者在左图坐着输入、右图站着继续同一任务；前臂自然，视线落在屏幕上</x:v>
      </x:c>
      <x:c r="P10" s="9" t="str">
        <x:v>Meta Feed主方案；Google PMax需另做干净单幅版本</x:v>
      </x:c>
      <x:c r="Q10" s="9" t="str">
        <x:v>1:1、1.91:1</x:v>
      </x:c>
      <x:c r="R10" s="9" t="str">
        <x:v>Sitzen. Stehen. Im Wechsel arbeiten.</x:v>
      </x:c>
      <x:c r="S10" s="9" t="str">
        <x:v>一体桌板；单电机；两组记忆高度；白桌白架；规格区承重70 kg；高度73–118 cm不含桌板</x:v>
      </x:c>
      <x:c r="T10" s="9" t="str">
        <x:v>描述段噪声&lt;50 dB与规格≤55 dB不一致，创意不引用分贝；不要混用Economy拼接板。</x:v>
      </x:c>
      <x:c r="U10" s="9" t="str">
        <x:v>N2+P1；不宣称健康疗效</x:v>
      </x:c>
      <x:c r="V10" s="9" t="str">
        <x:v>../01_Original_Competitor_Ads/Ergotopia/Google/ERGO-GOOG-043.jpg</x:v>
      </x:c>
      <x:c r="W10" s="9" t="str">
        <x:v>https://adstransparency.google.com/advertiser/AR17237286746354352129/creative/CR05597477950271258625?region=DE&amp;start-date=2026-09-16&amp;end-date=2026-10-15&amp;format=IMAGE</x:v>
      </x:c>
      <x:c r="X10" s="9" t="str">
        <x:v>有A类实际图片参考；具体原创场景和转化效果尚待测试。图片参考体现视觉方法，不构成竞品效果数据。</x:v>
      </x:c>
    </x:row>
    <x:row r="11" ht="220" customHeight="1">
      <x:c r="A11" s="9" t="str">
        <x:v>FW-C06</x:v>
      </x:c>
      <x:c r="B11" s="9" t="str">
        <x:v>一只手找到自己的常用高度</x:v>
      </x:c>
      <x:c r="C11" s="9" t="str">
        <x:v>P2</x:v>
      </x:c>
      <x:c r="D11" s="9" t="str">
        <x:v>首次购买电动升降桌的用户</x:v>
      </x:c>
      <x:c r="E11" s="9" t="str">
        <x:v>看懂日常如何操作，以及面板装在哪一侧</x:v>
      </x:c>
      <x:c r="F11" s="9" t="str">
        <x:v>两组记忆高度和原装手控器</x:v>
      </x:c>
      <x:c r="G11" s="9" t="str">
        <x:v>二：已有卖点的视觉强化</x:v>
      </x:c>
      <x:c r="H11" s="9" t="str">
        <x:v>Ergotopia|SONGMICS</x:v>
      </x:c>
      <x:c r="I11" s="9" t="str">
        <x:v>ERGO-GOOG-026;SONG-GOOG-074;ERGO-GOOG-066</x:v>
      </x:c>
      <x:c r="J11" s="9" t="str">
        <x:v>参考整桌加手控器放大图，解释“看哪里、按哪里”</x:v>
      </x:c>
      <x:c r="K11" s="9" t="str">
        <x:v>公开产品信息确认两组记忆位；操作疑问是购买流程推断，不是用户调研比例</x:v>
      </x:c>
      <x:c r="L11" s="9" t="str">
        <x:v>使用P2真实黑色面板和原键位；整桌放小，操作区放大，避免把大面板贴在桌面上</x:v>
      </x:c>
      <x:c r="M11" s="9" t="str">
        <x:v>深灰色背景的小工作角，台面保持少量输入设备</x:v>
      </x:c>
      <x:c r="N11" s="9" t="str">
        <x:v>主画面从使用者右前方近拍，包含桌边、原装控制器、手指；左上放小整桌参考，说明局部位置。渠道改版：PMax版拍完整桌子与操作手势的同一张照片，不加小图或局部拼贴。</x:v>
      </x:c>
      <x:c r="O11" s="9" t="str">
        <x:v>成年使用者只用一只手轻按已核验的记忆键，手指不遮住全部键位；静态不画运动速度</x:v>
      </x:c>
      <x:c r="P11" s="9" t="str">
        <x:v>Meta Feed主方案；Google PMax需另做干净单幅版本</x:v>
      </x:c>
      <x:c r="Q11" s="9" t="str">
        <x:v>1:1、4:5</x:v>
      </x:c>
      <x:c r="R11" s="9" t="str">
        <x:v>Deine Höhe auf Knopfdruck</x:v>
      </x:c>
      <x:c r="S11" s="9" t="str">
        <x:v>一体桌板；单电机；两组记忆高度；白桌白架；对应140×70在售变体</x:v>
      </x:c>
      <x:c r="T11" s="9" t="str">
        <x:v>页面文案提到100–160 cm，但当前可选变体只核验100/120/140 cm；不把160 cm写成可售Solid。</x:v>
      </x:c>
      <x:c r="U11" s="9" t="str">
        <x:v>P2；竞品部位表达而非竞品键位为参考</x:v>
      </x:c>
      <x:c r="V11" s="9" t="str">
        <x:v>../01_Original_Competitor_Ads/Ergotopia/Google/ERGO-GOOG-026.jpg</x:v>
      </x:c>
      <x:c r="W11" s="9" t="str">
        <x:v>https://adstransparency.google.com/advertiser/AR17237286746354352129/creative/CR03744908721277370369?region=DE&amp;start-date=2026-09-16&amp;end-date=2026-10-15&amp;format=IMAGE</x:v>
      </x:c>
      <x:c r="X11" s="9" t="str">
        <x:v>有A类实际图片参考；具体原创场景和转化效果尚待测试。图片参考体现视觉方法，不构成竞品效果数据。</x:v>
      </x:c>
    </x:row>
    <x:row r="12" ht="220" customHeight="1">
      <x:c r="A12" s="9" t="str">
        <x:v>FW-C07</x:v>
      </x:c>
      <x:c r="B12" s="9" t="str">
        <x:v>深色空间里的白色桌子</x:v>
      </x:c>
      <x:c r="C12" s="9" t="str">
        <x:v>P6</x:v>
      </x:c>
      <x:c r="D12" s="9" t="str">
        <x:v>重视白色家具外观但不喜欢全米色家居的用户</x:v>
      </x:c>
      <x:c r="E12" s="9" t="str">
        <x:v>看清白色桌体在另一种装修风格中的样子</x:v>
      </x:c>
      <x:c r="F12" s="9" t="str">
        <x:v>白桌白架与中尺寸外形</x:v>
      </x:c>
      <x:c r="G12" s="9" t="str">
        <x:v>一：成熟创意的新表现</x:v>
      </x:c>
      <x:c r="H12" s="9" t="str">
        <x:v>FlexiSpot|Ergotopia</x:v>
      </x:c>
      <x:c r="I12" s="9" t="str">
        <x:v>FLEX-GOOG-067;ERGO-META-2477194332778401</x:v>
      </x:c>
      <x:c r="J12" s="9" t="str">
        <x:v>参考深背景的轮廓反差与定向光，不复制品质认证或承重宣称</x:v>
      </x:c>
      <x:c r="K12" s="9" t="str">
        <x:v>P6白色在售，外观需求是产品选型推断；不声称审美偏好覆盖整个德国市场</x:v>
      </x:c>
      <x:c r="L12" s="9" t="str">
        <x:v>以靛蓝墙和银色工作灯替代竞品木墙，减少暖木元素；白桌完整露出</x:v>
      </x:c>
      <x:c r="M12" s="9" t="str">
        <x:v>城市公寓的深蓝工作间，侧边金属书架，墙面有一幅单色版画</x:v>
      </x:c>
      <x:c r="N12" s="9" t="str">
        <x:v>低于桌面的前方三分之四全景，桌子约占画面60%；顶部左侧留小标题区，控制器无遮挡</x:v>
      </x:c>
      <x:c r="O12" s="9" t="str">
        <x:v>无人；一台显示器、银色灯、一本合上的灰色笔记本</x:v>
      </x:c>
      <x:c r="P12" s="9" t="str">
        <x:v>Meta Feed；Google PMax 图片资产</x:v>
      </x:c>
      <x:c r="Q12" s="9" t="str">
        <x:v>4:5、1:1</x:v>
      </x:c>
      <x:c r="R12" s="9" t="str">
        <x:v>Weiß, das in dein Setup passt</x:v>
      </x:c>
      <x:c r="S12" s="9" t="str">
        <x:v>白桌白架140×70在售变体；双电机；完整尺寸和SKU已记录</x:v>
      </x:c>
      <x:c r="T12" s="9" t="str">
        <x:v>同P3的动态/静态承重冲突；不要沿用旧记忆中的承重数字。</x:v>
      </x:c>
      <x:c r="U12" s="9" t="str">
        <x:v>P6；视觉方法有A类参考，风格购买需求为假设</x:v>
      </x:c>
      <x:c r="V12" s="9" t="str">
        <x:v>../01_Original_Competitor_Ads/FlexiSpot/Google/FLEX-GOOG-067.jpg</x:v>
      </x:c>
      <x:c r="W12" s="9" t="str">
        <x:v>https://adstransparency.google.com/advertiser/AR05859906800018522113/creative/CR08255880771680600065?region=DE&amp;start-date=2026-09-16&amp;end-date=2026-10-15&amp;format=IMAGE</x:v>
      </x:c>
      <x:c r="X12" s="9" t="str">
        <x:v>有A类实际图片参考；具体原创场景和转化效果尚待测试。图片参考体现视觉方法，不构成竞品效果数据。</x:v>
      </x:c>
    </x:row>
    <x:row r="13" ht="220" customHeight="1">
      <x:c r="A13" s="9" t="str">
        <x:v>FW-C08</x:v>
      </x:c>
      <x:c r="B13" s="9" t="str">
        <x:v>两个人，各自合适的工作高度</x:v>
      </x:c>
      <x:c r="C13" s="9" t="str">
        <x:v>P6</x:v>
      </x:c>
      <x:c r="D13" s="9" t="str">
        <x:v>小型工作室或两人居家团队</x:v>
      </x:c>
      <x:c r="E13" s="9" t="str">
        <x:v>两张桌位能够同时用于不同任务和姿势</x:v>
      </x:c>
      <x:c r="F13" s="9" t="str">
        <x:v>独立桌位的坐站调节</x:v>
      </x:c>
      <x:c r="G13" s="9" t="str">
        <x:v>四：跨场景与跨产品组合</x:v>
      </x:c>
      <x:c r="H13" s="9" t="str">
        <x:v>Yaasa|FlexiSpot</x:v>
      </x:c>
      <x:c r="I13" s="9" t="str">
        <x:v>YAAS-GOOG-016;YAAS-GOOG-015;FLEX-GOOG-151</x:v>
      </x:c>
      <x:c r="J13" s="9" t="str">
        <x:v>参考真实多人工作场景及多桌位的空间关系</x:v>
      </x:c>
      <x:c r="K13" s="9" t="str">
        <x:v>德国居家办公背景与P6电动调节支持这个用法；两人团队购买量未知</x:v>
      </x:c>
      <x:c r="L13" s="9" t="str">
        <x:v>两个独立的P6桌位一坐一站，不把桌子画成可拼接或联动</x:v>
      </x:c>
      <x:c r="M13" s="9" t="str">
        <x:v>临街小工作室，桌子相互错开，墙上为实际项目板；通路和椅子后退空间可见</x:v>
      </x:c>
      <x:c r="N13" s="9" t="str">
        <x:v>从房间侧门拍广角全景，前桌坐姿、后桌站姿；禁止超广角拉长桌板或合并结构</x:v>
      </x:c>
      <x:c r="O13" s="9" t="str">
        <x:v>两名约30–45岁的同事分别看电脑和翻资料，不对镜头摆拍</x:v>
      </x:c>
      <x:c r="P13" s="9" t="str">
        <x:v>Meta Feed；面向办公室意图的Google PMax图片资产</x:v>
      </x:c>
      <x:c r="Q13" s="9" t="str">
        <x:v>1.91:1、4:5</x:v>
      </x:c>
      <x:c r="R13" s="9" t="str">
        <x:v>Zwei Arbeitsplätze. Individuell eingestellt.</x:v>
      </x:c>
      <x:c r="S13" s="9" t="str">
        <x:v>白桌白架140×70在售变体；双电机；完整尺寸和SKU已记录</x:v>
      </x:c>
      <x:c r="T13" s="9" t="str">
        <x:v>同P3的动态/静态承重冲突；不要沿用旧记忆中的承重数字。</x:v>
      </x:c>
      <x:c r="U13" s="9" t="str">
        <x:v>N1+N2+P6；团队场景为测试假设</x:v>
      </x:c>
      <x:c r="V13" s="9" t="str">
        <x:v>../01_Original_Competitor_Ads/Yaasa/Google/YAAS-GOOG-016.png</x:v>
      </x:c>
      <x:c r="W13" s="9" t="str">
        <x:v>https://adstransparency.google.com/advertiser/AR11132507814793052161/creative/CR16743120977646321665?region=DE&amp;start-date=2026-09-16&amp;end-date=2026-10-15&amp;format=IMAGE</x:v>
      </x:c>
      <x:c r="X13" s="9" t="str">
        <x:v>有A类实际图片参考；具体原创场景和转化效果尚待测试。图片参考体现视觉方法，不构成竞品效果数据。</x:v>
      </x:c>
    </x:row>
    <x:row r="14" ht="220" customHeight="1">
      <x:c r="A14" s="9" t="str">
        <x:v>FW-C09</x:v>
      </x:c>
      <x:c r="B14" s="9" t="str">
        <x:v>120、140还是180，按任务选尺寸</x:v>
      </x:c>
      <x:c r="C14" s="9" t="str">
        <x:v>P1|P2|P3</x:v>
      </x:c>
      <x:c r="D14" s="9" t="str">
        <x:v>已有购买意向但拿不准尺寸的用户</x:v>
      </x:c>
      <x:c r="E14" s="9" t="str">
        <x:v>看懂不同桌面尺寸可以容纳的实际工作内容</x:v>
      </x:c>
      <x:c r="F14" s="9" t="str">
        <x:v>三种已核验在售尺寸</x:v>
      </x:c>
      <x:c r="G14" s="9" t="str">
        <x:v>一：成熟创意的新表现</x:v>
      </x:c>
      <x:c r="H14" s="9" t="str">
        <x:v>Ergotopia|Desktronic</x:v>
      </x:c>
      <x:c r="I14" s="9" t="str">
        <x:v>ERGO-GOOG-002;ERGO-GOOG-052;DESK-GOOG-011</x:v>
      </x:c>
      <x:c r="J14" s="9" t="str">
        <x:v>参考统一透视的选型矩阵与无遮挡桌面，不复制竞品SKU</x:v>
      </x:c>
      <x:c r="K14" s="9" t="str">
        <x:v>Furniwell真实变体支持尺寸比较；设备摆放是规划示意，不是适合所有人的标准</x:v>
      </x:c>
      <x:c r="L14" s="9" t="str">
        <x:v>固定比例和机位，分别演示单屏、单屏加资料区、双屏加资料区；不放误导性的同一张桌子缩放标签</x:v>
      </x:c>
      <x:c r="M14" s="9" t="str">
        <x:v>中性浅灰棚拍空间，每一格有明确尺寸和型号名称</x:v>
      </x:c>
      <x:c r="N14" s="9" t="str">
        <x:v>三列对照，长边严格按120:140:180比例，深度按60:70:80；面板与立柱按各型号官方图锁定。渠道改版：PMax版按每个尺寸分别拍一张干净单产品画面，不上传三列矩阵；尺寸放广告文字。</x:v>
      </x:c>
      <x:c r="O14" s="9" t="str">
        <x:v>无人；配件为示意，不暗示包含在商品内</x:v>
      </x:c>
      <x:c r="P14" s="9" t="str">
        <x:v>Meta Feed主方案；Google PMax需另做干净单幅版本</x:v>
      </x:c>
      <x:c r="Q14" s="9" t="str">
        <x:v>1.91:1、1:1</x:v>
      </x:c>
      <x:c r="R14" s="9" t="str">
        <x:v>Welche Größe passt zu deinem Arbeitstag?</x:v>
      </x:c>
      <x:c r="S14" s="9" t="str">
        <x:v>一体桌板；单电机；两组记忆高度；白桌白架；规格区承重70 kg；高度73–118 cm不含桌板; 一体桌板；单电机；两组记忆高度；白桌白架；对应140×70在售变体; 白桌白架180×80在售变体；双电机；规格区高度60–125 cm不含桌板；多尺寸140/160/180/200 cm可选</x:v>
      </x:c>
      <x:c r="T14" s="9" t="str">
        <x:v>描述段噪声&lt;50 dB与规格≤55 dB不一致，创意不引用分贝；不要混用Economy拼接板。; 页面文案提到100–160 cm，但当前可选变体只核验100/120/140 cm；不把160 cm写成可售Solid。; 营销段落160 kg载荷与规格区动态120 kg/静态160 kg不同；不做重载数字广告，先复核。</x:v>
      </x:c>
      <x:c r="U14" s="9" t="str">
        <x:v>P1/P2/P3；N2用于布局原则，不将小桌宣称为专业工位标准</x:v>
      </x:c>
      <x:c r="V14" s="9" t="str">
        <x:v>../01_Original_Competitor_Ads/Ergotopia/Google/ERGO-GOOG-002.png</x:v>
      </x:c>
      <x:c r="W14" s="9" t="str">
        <x:v>https://adstransparency.google.com/advertiser/AR17237286746354352129/creative/CR09998335886837678081?region=DE&amp;start-date=2026-09-16&amp;end-date=2026-10-15&amp;format=IMAGE</x:v>
      </x:c>
      <x:c r="X14" s="9" t="str">
        <x:v>有A类实际图片参考；具体原创场景和转化效果尚待测试。图片参考体现视觉方法，不构成竞品效果数据。</x:v>
      </x:c>
    </x:row>
    <x:row r="15" ht="220" customHeight="1">
      <x:c r="A15" s="9" t="str">
        <x:v>FW-C10</x:v>
      </x:c>
      <x:c r="B15" s="9" t="str">
        <x:v>客厅里的工作角到下班状态</x:v>
      </x:c>
      <x:c r="C15" s="9" t="str">
        <x:v>P1</x:v>
      </x:c>
      <x:c r="D15" s="9" t="str">
        <x:v>没有独立书房的混合办公用户</x:v>
      </x:c>
      <x:c r="E15" s="9" t="str">
        <x:v>工作设备可有序归位，让客厅恢复生活感</x:v>
      </x:c>
      <x:c r="F15" s="9" t="str">
        <x:v>120×60小尺寸与清晰桌面分区</x:v>
      </x:c>
      <x:c r="G15" s="9" t="str">
        <x:v>三：新使用场景</x:v>
      </x:c>
      <x:c r="H15" s="9" t="str">
        <x:v>FlexiSpot|Desktronic</x:v>
      </x:c>
      <x:c r="I15" s="9" t="str">
        <x:v>FLEX-GOOG-151;DESK-META-980177638167248</x:v>
      </x:c>
      <x:c r="J15" s="9" t="str">
        <x:v>参考工作区与休闲家具共存、有使用痕迹的房间</x:v>
      </x:c>
      <x:c r="K15" s="9" t="str">
        <x:v>N1支持居家办公存在；P1尺寸支持小工作角。不是保证能隐藏所有设备</x:v>
      </x:c>
      <x:c r="L15" s="9" t="str">
        <x:v>用两幅不同任务状态的真实客厅角，不复制假评价，不声称桌子可以折叠收纳</x:v>
      </x:c>
      <x:c r="M15" s="9" t="str">
        <x:v>灰绿墙客厅靠墙工作角，旁边为阅读椅和书架，桌子仍固定在同一位置</x:v>
      </x:c>
      <x:c r="N15" s="9" t="str">
        <x:v>一幅靠近桌面的工作中景、一幅房间广角；两图同一张P1和同一空间布局</x:v>
      </x:c>
      <x:c r="O15" s="9" t="str">
        <x:v>约34岁使用者在第二幅合上笔记本、把普通鼠标收进自有收纳盒，桌子不消失</x:v>
      </x:c>
      <x:c r="P15" s="9" t="str">
        <x:v>Meta Feed</x:v>
      </x:c>
      <x:c r="Q15" s="9" t="str">
        <x:v>4:5、1:1</x:v>
      </x:c>
      <x:c r="R15" s="9" t="str">
        <x:v>Ein Platz fürs Arbeiten. Raum fürs Leben.</x:v>
      </x:c>
      <x:c r="S15" s="9" t="str">
        <x:v>一体桌板；单电机；两组记忆高度；白桌白架；规格区承重70 kg；高度73–118 cm不含桌板</x:v>
      </x:c>
      <x:c r="T15" s="9" t="str">
        <x:v>描述段噪声&lt;50 dB与规格≤55 dB不一致，创意不引用分贝；不要混用Economy拼接板。</x:v>
      </x:c>
      <x:c r="U15" s="9" t="str">
        <x:v>N1+P1；生活场景需求为推断</x:v>
      </x:c>
      <x:c r="V15" s="9" t="str">
        <x:v>../01_Original_Competitor_Ads/FlexiSpot/Google/FLEX-GOOG-151.png</x:v>
      </x:c>
      <x:c r="W15" s="9" t="str">
        <x:v>https://adstransparency.google.com/advertiser/AR05859906800018522113/creative/CR14890043387733344257?region=DE&amp;start-date=2026-09-16&amp;end-date=2026-10-15&amp;format=IMAGE</x:v>
      </x:c>
      <x:c r="X15" s="9" t="str">
        <x:v>有A类实际图片参考；具体原创场景和转化效果尚待测试。图片参考体现视觉方法，不构成竞品效果数据。</x:v>
      </x:c>
    </x:row>
    <x:row r="16" ht="220" customHeight="1">
      <x:c r="A16" s="9" t="str">
        <x:v>FW-C11</x:v>
      </x:c>
      <x:c r="B16" s="9" t="str">
        <x:v>打印、核对、输入，一条桌面流程</x:v>
      </x:c>
      <x:c r="C16" s="9" t="str">
        <x:v>P3</x:v>
      </x:c>
      <x:c r="D16" s="9" t="str">
        <x:v>处理合同、订单或纸质资料的个体经营者</x:v>
      </x:c>
      <x:c r="E16" s="9" t="str">
        <x:v>纸质文件与电脑工作可以连续完成</x:v>
      </x:c>
      <x:c r="F16" s="9" t="str">
        <x:v>180×80桌面可分成多个任务区</x:v>
      </x:c>
      <x:c r="G16" s="9" t="str">
        <x:v>四：跨场景与跨产品组合</x:v>
      </x:c>
      <x:c r="H16" s="9" t="str">
        <x:v>SONGMICS|FlexiSpot</x:v>
      </x:c>
      <x:c r="I16" s="9" t="str">
        <x:v>SONG-GOOG-027;FLEX-GOOG-036</x:v>
      </x:c>
      <x:c r="J16" s="9" t="str">
        <x:v>参考打印机、双屏和纸张共同提供的尺度与用途证据</x:v>
      </x:c>
      <x:c r="K16" s="9" t="str">
        <x:v>P3尺寸真实；纸张与电脑混合办公符合实际任务，具体职业购买意向待测</x:v>
      </x:c>
      <x:c r="L16" s="9" t="str">
        <x:v>把打印机放在一端并保留中部写字区，减少屏幕数量，突出工作流而非设备堆叠</x:v>
      </x:c>
      <x:c r="M16" s="9" t="str">
        <x:v>暖灰色家庭工作间，墙上是发货日历，地面为浅灰地毯，不出现竞品侧袋</x:v>
      </x:c>
      <x:c r="N16" s="9" t="str">
        <x:v>略高正面宽幅全景，左打印、中央A4核对、右侧屏幕与键鼠；前长边和两只桌脚完整可见</x:v>
      </x:c>
      <x:c r="O16" s="9" t="str">
        <x:v>约38岁成年人坐在中部给一份打印件做勾选，右边屏幕显示模糊通用表格</x:v>
      </x:c>
      <x:c r="P16" s="9" t="str">
        <x:v>Google PMax 图片资产；Meta Feed</x:v>
      </x:c>
      <x:c r="Q16" s="9" t="str">
        <x:v>1.91:1、4:5</x:v>
      </x:c>
      <x:c r="R16" s="9" t="str">
        <x:v>Platz für deinen ganzen Arbeitsablauf</x:v>
      </x:c>
      <x:c r="S16" s="9" t="str">
        <x:v>白桌白架180×80在售变体；双电机；规格区高度60–125 cm不含桌板；多尺寸140/160/180/200 cm可选</x:v>
      </x:c>
      <x:c r="T16" s="9" t="str">
        <x:v>营销段落160 kg载荷与规格区动态120 kg/静态160 kg不同；不做重载数字广告，先复核。</x:v>
      </x:c>
      <x:c r="U16" s="9" t="str">
        <x:v>P3+N2；容量由物件比例示意，不证明承重或稳定性</x:v>
      </x:c>
      <x:c r="V16" s="9" t="str">
        <x:v>../01_Original_Competitor_Ads/SONGMICS/Google/SONG-GOOG-027.jpg</x:v>
      </x:c>
      <x:c r="W16" s="9" t="str">
        <x:v>https://adstransparency.google.com/advertiser/AR10991278398063509505/creative/CR01649883803830714369?region=DE&amp;start-date=2026-09-16&amp;end-date=2026-10-15&amp;format=IMAGE</x:v>
      </x:c>
      <x:c r="X16" s="9" t="str">
        <x:v>有A类实际图片参考；具体原创场景和转化效果尚待测试。图片参考体现视觉方法，不构成竞品效果数据。</x:v>
      </x:c>
    </x:row>
    <x:row r="17" ht="220" customHeight="1">
      <x:c r="A17" s="9" t="str">
        <x:v>FW-C12</x:v>
      </x:c>
      <x:c r="B17" s="9" t="str">
        <x:v>白桌也能成为手作工作台</x:v>
      </x:c>
      <x:c r="C17" s="9" t="str">
        <x:v>P2</x:v>
      </x:c>
      <x:c r="D17" s="9" t="str">
        <x:v>兼顾电脑与纸艺、拼贴等轻量爱好的成年人</x:v>
      </x:c>
      <x:c r="E17" s="9" t="str">
        <x:v>工作之外保留展开材料的空间</x:v>
      </x:c>
      <x:c r="F17" s="9" t="str">
        <x:v>140×70连续桌板</x:v>
      </x:c>
      <x:c r="G17" s="9" t="str">
        <x:v>三：新使用场景</x:v>
      </x:c>
      <x:c r="H17" s="9" t="str">
        <x:v>FlexiSpot</x:v>
      </x:c>
      <x:c r="I17" s="9" t="str">
        <x:v>FLEX-GOOG-012;FLEX-GOOG-143</x:v>
      </x:c>
      <x:c r="J17" s="9" t="str">
        <x:v>参考真实工作道具和任务化桌面；不参考可倾斜桌板</x:v>
      </x:c>
      <x:c r="K17" s="9" t="str">
        <x:v>P2一体板与尺寸支持轻量纸艺；不宣称耐高温、刀刻或工业承重</x:v>
      </x:c>
      <x:c r="L17" s="9" t="str">
        <x:v>只出现纸张、胶棒和剪刀，配自有切割垫，不在产品台面直接刀刻</x:v>
      </x:c>
      <x:c r="M17" s="9" t="str">
        <x:v>有白色格架和灰蓝墙的多用途房间，工作材料整齐但不过分对称</x:v>
      </x:c>
      <x:c r="N17" s="9" t="str">
        <x:v>桌角近景带出长边和部分立柱，左侧为键鼠、右侧为纸艺区，背景明显低焦</x:v>
      </x:c>
      <x:c r="O17" s="9" t="str">
        <x:v>约30岁用户站着整理纸片，动作远离升降缝隙，桌子保持静止</x:v>
      </x:c>
      <x:c r="P17" s="9" t="str">
        <x:v>Meta Feed</x:v>
      </x:c>
      <x:c r="Q17" s="9" t="str">
        <x:v>4:5、1:1</x:v>
      </x:c>
      <x:c r="R17" s="9" t="str">
        <x:v>Raum für Arbeit und eigene Projekte</x:v>
      </x:c>
      <x:c r="S17" s="9" t="str">
        <x:v>一体桌板；单电机；两组记忆高度；白桌白架；对应140×70在售变体</x:v>
      </x:c>
      <x:c r="T17" s="9" t="str">
        <x:v>页面文案提到100–160 cm，但当前可选变体只核验100/120/140 cm；不把160 cm写成可售Solid。</x:v>
      </x:c>
      <x:c r="U17" s="9" t="str">
        <x:v>P2；轻量爱好场景为扩展假设</x:v>
      </x:c>
      <x:c r="V17" s="9" t="str">
        <x:v>../01_Original_Competitor_Ads/FlexiSpot/Google/FLEX-GOOG-012.jpg</x:v>
      </x:c>
      <x:c r="W17" s="9" t="str">
        <x:v>https://adstransparency.google.com/advertiser/AR05859906800018522113/creative/CR03255810653201367041?region=DE&amp;start-date=2026-09-16&amp;end-date=2026-10-15&amp;format=IMAGE</x:v>
      </x:c>
      <x:c r="X17" s="9" t="str">
        <x:v>有A类实际图片参考；具体原创场景和转化效果尚待测试。图片参考体现视觉方法，不构成竞品效果数据。</x:v>
      </x:c>
    </x:row>
    <x:row r="18" ht="220" customHeight="1">
      <x:c r="A18" s="9" t="str">
        <x:v>FW-C13</x:v>
      </x:c>
      <x:c r="B18" s="9" t="str">
        <x:v>入门工作台，把基础讲清楚</x:v>
      </x:c>
      <x:c r="C18" s="9" t="str">
        <x:v>P5</x:v>
      </x:c>
      <x:c r="D18" s="9" t="str">
        <x:v>关注入门预算的首次购买者</x:v>
      </x:c>
      <x:c r="E18" s="9" t="str">
        <x:v>能看清真实构造和核心功能，而非被夸大参数吸引</x:v>
      </x:c>
      <x:c r="F18" s="9" t="str">
        <x:v>基础电动升降、两组记忆位</x:v>
      </x:c>
      <x:c r="G18" s="9" t="str">
        <x:v>二：已有卖点的视觉强化</x:v>
      </x:c>
      <x:c r="H18" s="9" t="str">
        <x:v>Desktronic|Ergotopia</x:v>
      </x:c>
      <x:c r="I18" s="9" t="str">
        <x:v>DESK-GOOG-008;ERGO-GOOG-037</x:v>
      </x:c>
      <x:c r="J18" s="9" t="str">
        <x:v>参考无遮挡轮廓和低复杂度背景，不将其当作价格效果证明</x:v>
      </x:c>
      <x:c r="K18" s="9" t="str">
        <x:v>P5白色120×60真实在售；四片拼接板必须保留</x:v>
      </x:c>
      <x:c r="L18" s="9" t="str">
        <x:v>保留可见拼接方式，用一个主产品配尺寸与电动图示；价签只在重新核价后加入</x:v>
      </x:c>
      <x:c r="M18" s="9" t="str">
        <x:v>浅蓝灰的朴素租房工作角，便携台灯和一本任务本</x:v>
      </x:c>
      <x:c r="N18" s="9" t="str">
        <x:v>平视前方三分之四全景，桌面只放一台轻薄电脑，不用豪华软装暗示高配型号</x:v>
      </x:c>
      <x:c r="O18" s="9" t="str">
        <x:v>无人</x:v>
      </x:c>
      <x:c r="P18" s="9" t="str">
        <x:v>Google PMax 图片资产；Meta Feed</x:v>
      </x:c>
      <x:c r="Q18" s="9" t="str">
        <x:v>1:1、1.91:1</x:v>
      </x:c>
      <x:c r="R18" s="9" t="str">
        <x:v>Dein Einstieg ins flexible Arbeiten</x:v>
      </x:c>
      <x:c r="S18" s="9" t="str">
        <x:v>白色120×60在售变体；电动升降；两组记忆高度；规格和描述明确四片桌板拼接</x:v>
      </x:c>
      <x:c r="T18" s="9" t="str">
        <x:v>不得生成一体板或宣传无拼接；页面高度72–116与“行程56 cm”存在算术冲突，不引用行程。</x:v>
      </x:c>
      <x:c r="U18" s="9" t="str">
        <x:v>P5；价格仅为当前快照，长期知识不保存折扣</x:v>
      </x:c>
      <x:c r="V18" s="9" t="str">
        <x:v>../01_Original_Competitor_Ads/Desktronic/Google/DESK-GOOG-008.jpg</x:v>
      </x:c>
      <x:c r="W18" s="9" t="str">
        <x:v>https://adstransparency.google.com/advertiser/AR02313082571728093185/creative/CR12382245836531171329?region=DE&amp;start-date=2026-09-16&amp;end-date=2026-10-15&amp;format=IMAGE</x:v>
      </x:c>
      <x:c r="X18" s="9" t="str">
        <x:v>有A类实际图片参考；具体原创场景和转化效果尚待测试。图片参考体现视觉方法，不构成竞品效果数据。</x:v>
      </x:c>
    </x:row>
    <x:row r="19" ht="220" customHeight="1">
      <x:c r="A19" s="9" t="str">
        <x:v>FW-C14</x:v>
      </x:c>
      <x:c r="B19" s="9" t="str">
        <x:v>同一张大桌，白天工作晚上游戏</x:v>
      </x:c>
      <x:c r="C19" s="9" t="str">
        <x:v>P3</x:v>
      </x:c>
      <x:c r="D19" s="9" t="str">
        <x:v>工作和游戏共用一张桌子的成年人</x:v>
      </x:c>
      <x:c r="E19" s="9" t="str">
        <x:v>同一设备布局承接两类任务</x:v>
      </x:c>
      <x:c r="F19" s="9" t="str">
        <x:v>180×80大桌面与电动调节</x:v>
      </x:c>
      <x:c r="G19" s="9" t="str">
        <x:v>四：跨场景与跨产品组合</x:v>
      </x:c>
      <x:c r="H19" s="9" t="str">
        <x:v>FlexiSpot|SONGMICS</x:v>
      </x:c>
      <x:c r="I19" s="9" t="str">
        <x:v>FLEX-GOOG-121;SONG-GOOG-024</x:v>
      </x:c>
      <x:c r="J19" s="9" t="str">
        <x:v>参考游戏设备与照明的场景识别，不复制竞品内置灯或供电功能</x:v>
      </x:c>
      <x:c r="K19" s="9" t="str">
        <x:v>P3尺寸与坐站功能可验证；灯带与游戏设备均为外部道具</x:v>
      </x:c>
      <x:c r="L19" s="9" t="str">
        <x:v>同一间灰白工作室分别用日光和外置紫蓝桌后灯，桌子本身不发光</x:v>
      </x:c>
      <x:c r="M19" s="9" t="str">
        <x:v>窗边灰白工作室，背景墙挂少量海报</x:v>
      </x:c>
      <x:c r="N19" s="9" t="str">
        <x:v>上下双图，上图正面工作、下图从右后方看游戏；保证桌体、外设数量与位置一致</x:v>
      </x:c>
      <x:c r="O19" s="9" t="str">
        <x:v>成年人上图坐姿办公、下图坐姿持普通游戏手柄；不把整桌抬升到不合理高度</x:v>
      </x:c>
      <x:c r="P19" s="9" t="str">
        <x:v>Meta Feed</x:v>
      </x:c>
      <x:c r="Q19" s="9" t="str">
        <x:v>4:5、1:1</x:v>
      </x:c>
      <x:c r="R19" s="9" t="str">
        <x:v>Ein Setup für Arbeit und Freizeit</x:v>
      </x:c>
      <x:c r="S19" s="9" t="str">
        <x:v>白桌白架180×80在售变体；双电机；规格区高度60–125 cm不含桌板；多尺寸140/160/180/200 cm可选</x:v>
      </x:c>
      <x:c r="T19" s="9" t="str">
        <x:v>营销段落160 kg载荷与规格区动态120 kg/静态160 kg不同；不做重载数字广告，先复核。</x:v>
      </x:c>
      <x:c r="U19" s="9" t="str">
        <x:v>P3；跨用途为场景推断，不声称游戏性能提升</x:v>
      </x:c>
      <x:c r="V19" s="9" t="str">
        <x:v>../01_Original_Competitor_Ads/FlexiSpot/Google/FLEX-GOOG-121.png</x:v>
      </x:c>
      <x:c r="W19" s="9" t="str">
        <x:v>https://adstransparency.google.com/advertiser/AR05859906800018522113/creative/CR01007296730015727617?region=DE&amp;start-date=2026-09-16&amp;end-date=2026-10-15&amp;format=IMAGE</x:v>
      </x:c>
      <x:c r="X19" s="9" t="str">
        <x:v>有A类实际图片参考；具体原创场景和转化效果尚待测试。图片参考体现视觉方法，不构成竞品效果数据。</x:v>
      </x:c>
    </x:row>
    <x:row r="20" ht="220" customHeight="1">
      <x:c r="A20" s="9" t="str">
        <x:v>FW-C15</x:v>
      </x:c>
      <x:c r="B20" s="9" t="str">
        <x:v>旧桌面升级前后的同一机位</x:v>
      </x:c>
      <x:c r="C20" s="9" t="str">
        <x:v>P4</x:v>
      </x:c>
      <x:c r="D20" s="9" t="str">
        <x:v>想升级已有工作区的用户</x:v>
      </x:c>
      <x:c r="E20" s="9" t="str">
        <x:v>了解只换桌架后外观与使用方式的变化</x:v>
      </x:c>
      <x:c r="F20" s="9" t="str">
        <x:v>单独桌架可保留合适桌板</x:v>
      </x:c>
      <x:c r="G20" s="9" t="str">
        <x:v>二：已有卖点的视觉强化</x:v>
      </x:c>
      <x:c r="H20" s="9" t="str">
        <x:v>Desktronic|FlexiSpot</x:v>
      </x:c>
      <x:c r="I20" s="9" t="str">
        <x:v>DESK-GOOG-031;FLEX-GOOG-077</x:v>
      </x:c>
      <x:c r="J20" s="9" t="str">
        <x:v>参考裸桌架展示及“仅桌架”边界，不把竞品成桌图改标</x:v>
      </x:c>
      <x:c r="K20" s="9" t="str">
        <x:v>P4适配范围有规格区支持；是否适合具体旧板仍需逐件检查</x:v>
      </x:c>
      <x:c r="L20" s="9" t="str">
        <x:v>前后对照中的木桌板纹理、设备与空间完全一致，只更换合适桌架；示意标签说明非性能实验</x:v>
      </x:c>
      <x:c r="M20" s="9" t="str">
        <x:v>带旧木书柜的居家办公角，旧桌板为经检查的140×70板</x:v>
      </x:c>
      <x:c r="N20" s="9" t="str">
        <x:v>固定侧面机位：左为原静态桌架，右为白P4升至合理站姿高度；不使用速度箭头。渠道改版：PMax版只用升级后的单幅产品使用画面，不上传前后拼图。</x:v>
      </x:c>
      <x:c r="O20" s="9" t="str">
        <x:v>同一成年人右图站姿输入，左图坐姿；安装过程不入镜</x:v>
      </x:c>
      <x:c r="P20" s="9" t="str">
        <x:v>Meta Feed主方案；Google PMax需另做干净单幅版本</x:v>
      </x:c>
      <x:c r="Q20" s="9" t="str">
        <x:v>1:1、1.91:1</x:v>
      </x:c>
      <x:c r="R20" s="9" t="str">
        <x:v>Ein neues Gestell für deine passende Platte</x:v>
      </x:c>
      <x:c r="S20" s="9" t="str">
        <x:v>白色在售变体；单电机；两组记忆高度；规格区72–118 cm；动态80 kg/静态100 kg；只售桌架</x:v>
      </x:c>
      <x:c r="T20" s="9" t="str">
        <x:v>正文还出现不同高度/宽度范围，兼容性按规格区并在制作前复核安装孔位、板材、重量；不可承诺适配任意旧桌板。</x:v>
      </x:c>
      <x:c r="U20" s="9" t="str">
        <x:v>P4；改造效果是规划示意，兼容性需确认</x:v>
      </x:c>
      <x:c r="V20" s="9" t="str">
        <x:v>../01_Original_Competitor_Ads/Desktronic/Google/DESK-GOOG-031.jpg</x:v>
      </x:c>
      <x:c r="W20" s="9" t="str">
        <x:v>https://adstransparency.google.com/advertiser/AR09286273997568212993/creative/CR08479722372520214529?region=DE&amp;start-date=2026-09-16&amp;end-date=2026-10-15&amp;format=IMAGE</x:v>
      </x:c>
      <x:c r="X20" s="9" t="str">
        <x:v>有A类实际图片参考；具体原创场景和转化效果尚待测试。图片参考体现视觉方法，不构成竞品效果数据。</x:v>
      </x:c>
    </x:row>
    <x:row r="21" ht="220" customHeight="1">
      <x:c r="A21" s="9" t="str">
        <x:v>FW-C16</x:v>
      </x:c>
      <x:c r="B21" s="9" t="str">
        <x:v>140厘米的周计划桌面</x:v>
      </x:c>
      <x:c r="C21" s="9" t="str">
        <x:v>P2</x:v>
      </x:c>
      <x:c r="D21" s="9" t="str">
        <x:v>常用纸质计划、电脑和文件的职员</x:v>
      </x:c>
      <x:c r="E21" s="9" t="str">
        <x:v>单屏旁保留每周计划与参考资料</x:v>
      </x:c>
      <x:c r="F21" s="9" t="str">
        <x:v>140×70一体桌面</x:v>
      </x:c>
      <x:c r="G21" s="9" t="str">
        <x:v>二：已有卖点的视觉强化</x:v>
      </x:c>
      <x:c r="H21" s="9" t="str">
        <x:v>FlexiSpot|SONGMICS</x:v>
      </x:c>
      <x:c r="I21" s="9" t="str">
        <x:v>FLEX-GOOG-067;SONG-GOOG-027</x:v>
      </x:c>
      <x:c r="J21" s="9" t="str">
        <x:v>参考电脑与纸质资料同时出现，让设备说明使用任务</x:v>
      </x:c>
      <x:c r="K21" s="9" t="str">
        <x:v>P2尺寸与一体板真实，任务摆放为布局假设</x:v>
      </x:c>
      <x:c r="L21" s="9" t="str">
        <x:v>不追求双屏，用一台显示器、一块可移动周计划板和文件托盘说明中尺寸的用途</x:v>
      </x:c>
      <x:c r="M21" s="9" t="str">
        <x:v>朝北的冷灰小书房，背景墙为项目便签</x:v>
      </x:c>
      <x:c r="N21" s="9" t="str">
        <x:v>从右前45°拍摄，左侧空白书写区接近镜头，右后方放显示器；控制器留在前长边下方</x:v>
      </x:c>
      <x:c r="O21" s="9" t="str">
        <x:v>约36岁用户坐姿在计划表上写下一项任务，桌面其余区域仍有空白</x:v>
      </x:c>
      <x:c r="P21" s="9" t="str">
        <x:v>Google PMax 图片资产；Meta Feed</x:v>
      </x:c>
      <x:c r="Q21" s="9" t="str">
        <x:v>1.91:1、4:5</x:v>
      </x:c>
      <x:c r="R21" s="9" t="str">
        <x:v>140 × 70 cm für deinen Wochenplan</x:v>
      </x:c>
      <x:c r="S21" s="9" t="str">
        <x:v>一体桌板；单电机；两组记忆高度；白桌白架；对应140×70在售变体</x:v>
      </x:c>
      <x:c r="T21" s="9" t="str">
        <x:v>页面文案提到100–160 cm，但当前可选变体只核验100/120/140 cm；不把160 cm写成可售Solid。</x:v>
      </x:c>
      <x:c r="U21" s="9" t="str">
        <x:v>P2+N2；不把任务区宣称为通用工位标准</x:v>
      </x:c>
      <x:c r="V21" s="9" t="str">
        <x:v>../01_Original_Competitor_Ads/FlexiSpot/Google/FLEX-GOOG-067.jpg</x:v>
      </x:c>
      <x:c r="W21" s="9" t="str">
        <x:v>https://adstransparency.google.com/advertiser/AR05859906800018522113/creative/CR08255880771680600065?region=DE&amp;start-date=2026-09-16&amp;end-date=2026-10-15&amp;format=IMAGE</x:v>
      </x:c>
      <x:c r="X21" s="9" t="str">
        <x:v>有A类实际图片参考；具体原创场景和转化效果尚待测试。图片参考体现视觉方法，不构成竞品效果数据。</x:v>
      </x:c>
    </x:row>
    <x:row r="22" ht="220" customHeight="1">
      <x:c r="A22" s="9" t="str">
        <x:v>FW-C17</x:v>
      </x:c>
      <x:c r="B22" s="9" t="str">
        <x:v>企业采购先看适配清单</x:v>
      </x:c>
      <x:c r="C22" s="9" t="str">
        <x:v>P4</x:v>
      </x:c>
      <x:c r="D22" s="9" t="str">
        <x:v>小企业的Office Management或采购负责人</x:v>
      </x:c>
      <x:c r="E22" s="9" t="str">
        <x:v>批量购买前清楚确认桌板适配、配件和产品边界</x:v>
      </x:c>
      <x:c r="F22" s="9" t="str">
        <x:v>可单独采购桌架及明确规格</x:v>
      </x:c>
      <x:c r="G22" s="9" t="str">
        <x:v>三：新使用场景</x:v>
      </x:c>
      <x:c r="H22" s="9" t="str">
        <x:v>Yaasa|Desktronic</x:v>
      </x:c>
      <x:c r="I22" s="9" t="str">
        <x:v>YAAS-GOOG-017;YAAS-META-4706898742970032;DESK-GOOG-031</x:v>
      </x:c>
      <x:c r="J22" s="9" t="str">
        <x:v>参考采购清单的决策入口，不仿造Yaasa电子书封面或承诺减少病假</x:v>
      </x:c>
      <x:c r="K22" s="9" t="str">
        <x:v>P4在售且有规格区；采购规模与成交周期未有数据，列为探索</x:v>
      </x:c>
      <x:c r="L22" s="9" t="str">
        <x:v>用Furniwell桌架实物缩略图配一页兼容性检查表，不使用下载量、企业客户或虚构认证</x:v>
      </x:c>
      <x:c r="M22" s="9" t="str">
        <x:v>小办公室采购桌面，只有一张真实规格表和卷尺照片</x:v>
      </x:c>
      <x:c r="N22" s="9" t="str">
        <x:v>左为白色桌架全景，右为宽深、板材、重量、孔位、仅桌架五项检查；留白充足。渠道改版：PMax版使用完整桌架单幅照片，检查清单放广告文字或落地页。</x:v>
      </x:c>
      <x:c r="O22" s="9" t="str">
        <x:v>无人，或只见采购者手中真实尺寸草图；本次不创建下载表单</x:v>
      </x:c>
      <x:c r="P22" s="9" t="str">
        <x:v>Meta Feed主方案；Google PMax需另做干净单幅版本</x:v>
      </x:c>
      <x:c r="Q22" s="9" t="str">
        <x:v>1.91:1、1:1</x:v>
      </x:c>
      <x:c r="R22" s="9" t="str">
        <x:v>Vor dem Upgrade: Maße und Montage prüfen</x:v>
      </x:c>
      <x:c r="S22" s="9" t="str">
        <x:v>白色在售变体；单电机；两组记忆高度；规格区72–118 cm；动态80 kg/静态100 kg；只售桌架</x:v>
      </x:c>
      <x:c r="T22" s="9" t="str">
        <x:v>正文还出现不同高度/宽度范围，兼容性按规格区并在制作前复核安装孔位、板材、重量；不可承诺适配任意旧桌板。</x:v>
      </x:c>
      <x:c r="U22" s="9" t="str">
        <x:v>P4；参考为邻近B2B资料广告，非桌子转化证明</x:v>
      </x:c>
      <x:c r="V22" s="9" t="str">
        <x:v>../01_Original_Competitor_Ads/Yaasa/Google/YAAS-GOOG-017.png</x:v>
      </x:c>
      <x:c r="W22" s="9" t="str">
        <x:v>https://adstransparency.google.com/advertiser/AR11132507814793052161/creative/CR02933833138457018369?region=DE&amp;start-date=2026-09-16&amp;end-date=2026-10-15&amp;format=IMAGE</x:v>
      </x:c>
      <x:c r="X22" s="9" t="str">
        <x:v>有A类实际图片参考；具体原创场景和转化效果尚待测试。图片参考体现视觉方法，不构成竞品效果数据。</x:v>
      </x:c>
    </x:row>
    <x:row r="23" ht="220" customHeight="1">
      <x:c r="A23" s="9" t="str">
        <x:v>FW-C18</x:v>
      </x:c>
      <x:c r="B23" s="9" t="str">
        <x:v>看得见的腿部和起身空间</x:v>
      </x:c>
      <x:c r="C23" s="9" t="str">
        <x:v>P1</x:v>
      </x:c>
      <x:c r="D23" s="9" t="str">
        <x:v>担心小桌坐着局促的用户</x:v>
      </x:c>
      <x:c r="E23" s="9" t="str">
        <x:v>能判断椅子、双腿和桌脚的实际关系</x:v>
      </x:c>
      <x:c r="F23" s="9" t="str">
        <x:v>120×60尺度与两脚结构</x:v>
      </x:c>
      <x:c r="G23" s="9" t="str">
        <x:v>二：已有卖点的视觉强化</x:v>
      </x:c>
      <x:c r="H23" s="9" t="str">
        <x:v>FlexiSpot|Desktronic</x:v>
      </x:c>
      <x:c r="I23" s="9" t="str">
        <x:v>FLEX-GOOG-096;DESK-GOOG-002</x:v>
      </x:c>
      <x:c r="J23" s="9" t="str">
        <x:v>参考完整桌脚和椅子提供尺度，但重新选择更有解释力的机位</x:v>
      </x:c>
      <x:c r="K23" s="9" t="str">
        <x:v>P1尺寸真实；不对所有身高、所有椅子承诺适配</x:v>
      </x:c>
      <x:c r="L23" s="9" t="str">
        <x:v>从使用者斜后侧显示坐姿膝部与起身路径，不采用广角透视夸大空间</x:v>
      </x:c>
      <x:c r="M23" s="9" t="str">
        <x:v>白墙和灰地板的小工作角，椅子后方留真实通道</x:v>
      </x:c>
      <x:c r="N23" s="9" t="str">
        <x:v>相机在约90厘米高的左后侧，中景覆盖桌脚、膝部和椅背，桌板前长边清楚可见</x:v>
      </x:c>
      <x:c r="O23" s="9" t="str">
        <x:v>约30岁成年人坐姿稍向后移椅准备起身，腿部不穿模、不夸大伸展</x:v>
      </x:c>
      <x:c r="P23" s="9" t="str">
        <x:v>Meta Feed</x:v>
      </x:c>
      <x:c r="Q23" s="9" t="str">
        <x:v>4:5、1:1</x:v>
      </x:c>
      <x:c r="R23" s="9" t="str">
        <x:v>Kompakt planen. Bewegungsraum mitdenken.</x:v>
      </x:c>
      <x:c r="S23" s="9" t="str">
        <x:v>一体桌板；单电机；两组记忆高度；白桌白架；规格区承重70 kg；高度73–118 cm不含桌板</x:v>
      </x:c>
      <x:c r="T23" s="9" t="str">
        <x:v>描述段噪声&lt;50 dB与规格≤55 dB不一致，创意不引用分贝；不要混用Economy拼接板。</x:v>
      </x:c>
      <x:c r="U23" s="9" t="str">
        <x:v>P1+N2；人体与椅子比例需后续校核</x:v>
      </x:c>
      <x:c r="V23" s="9" t="str">
        <x:v>../01_Original_Competitor_Ads/FlexiSpot/Google/FLEX-GOOG-096.jpg</x:v>
      </x:c>
      <x:c r="W23" s="9" t="str">
        <x:v>https://adstransparency.google.com/advertiser/AR05859906800018522113/creative/CR17474212578514173953?region=DE&amp;start-date=2026-09-16&amp;end-date=2026-10-15&amp;format=IMAGE</x:v>
      </x:c>
      <x:c r="X23" s="9" t="str">
        <x:v>有A类实际图片参考；具体原创场景和转化效果尚待测试。图片参考体现视觉方法，不构成竞品效果数据。</x:v>
      </x:c>
    </x:row>
    <x:row r="24" ht="220" customHeight="1">
      <x:c r="A24" s="9" t="str">
        <x:v>FW-C19</x:v>
      </x:c>
      <x:c r="B24" s="9" t="str">
        <x:v>照片选片与设备整理台</x:v>
      </x:c>
      <x:c r="C24" s="9" t="str">
        <x:v>P3</x:v>
      </x:c>
      <x:c r="D24" s="9" t="str">
        <x:v>摄影、视频或内容创作者</x:v>
      </x:c>
      <x:c r="E24" s="9" t="str">
        <x:v>电脑外还有相机、存储卡和资料区</x:v>
      </x:c>
      <x:c r="F24" s="9" t="str">
        <x:v>180×80可分工的桌面</x:v>
      </x:c>
      <x:c r="G24" s="9" t="str">
        <x:v>三：新使用场景</x:v>
      </x:c>
      <x:c r="H24" s="9" t="str">
        <x:v>FlexiSpot|SONGMICS</x:v>
      </x:c>
      <x:c r="I24" s="9" t="str">
        <x:v>FLEX-GOOG-057;SONG-GOOG-003</x:v>
      </x:c>
      <x:c r="J24" s="9" t="str">
        <x:v>参考有真实职业物件的桌面，而不是套用空泛创作者标签</x:v>
      </x:c>
      <x:c r="K24" s="9" t="str">
        <x:v>P3尺寸真实；摄影角色与购买意向为待测场景</x:v>
      </x:c>
      <x:c r="L24" s="9" t="str">
        <x:v>双屏减成一块大屏，使用相机、读卡器和分格存储盒，绝不声称附件随桌附赠</x:v>
      </x:c>
      <x:c r="M24" s="9" t="str">
        <x:v>有深橄榄绿墙与灰色窗帘的剪辑工作室</x:v>
      </x:c>
      <x:c r="N24" s="9" t="str">
        <x:v>从桌板前沿稍上方横向中景拍，左设备整理、右屏幕选片；前沿下方控制器露出</x:v>
      </x:c>
      <x:c r="O24" s="9" t="str">
        <x:v>约33岁创作者站姿把存储卡放入自有收纳盒，画面中的屏幕内容模糊</x:v>
      </x:c>
      <x:c r="P24" s="9" t="str">
        <x:v>Meta Feed；Google PMax 图片资产</x:v>
      </x:c>
      <x:c r="Q24" s="9" t="str">
        <x:v>1.91:1、4:5</x:v>
      </x:c>
      <x:c r="R24" s="9" t="str">
        <x:v>Platz für Technik und kreative Arbeit</x:v>
      </x:c>
      <x:c r="S24" s="9" t="str">
        <x:v>白桌白架180×80在售变体；双电机；规格区高度60–125 cm不含桌板；多尺寸140/160/180/200 cm可选</x:v>
      </x:c>
      <x:c r="T24" s="9" t="str">
        <x:v>营销段落160 kg载荷与规格区动态120 kg/静态160 kg不同；不做重载数字广告，先复核。</x:v>
      </x:c>
      <x:c r="U24" s="9" t="str">
        <x:v>P3；行业场景与具体设备组合为测试假设</x:v>
      </x:c>
      <x:c r="V24" s="9" t="str">
        <x:v>../01_Original_Competitor_Ads/FlexiSpot/Google/FLEX-GOOG-057.jpg</x:v>
      </x:c>
      <x:c r="W24" s="9" t="str">
        <x:v>https://adstransparency.google.com/advertiser/AR05859906800018522113/creative/CR12061477561239076865?region=DE&amp;start-date=2026-09-16&amp;end-date=2026-10-15&amp;format=IMAGE</x:v>
      </x:c>
      <x:c r="X24" s="9" t="str">
        <x:v>有A类实际图片参考；具体原创场景和转化效果尚待测试。图片参考体现视觉方法，不构成竞品效果数据。</x:v>
      </x:c>
    </x:row>
    <x:row r="25" ht="220" customHeight="1">
      <x:c r="A25" s="9" t="str">
        <x:v>FW-C20</x:v>
      </x:c>
      <x:c r="B25" s="9" t="str">
        <x:v>成人进修的晚间工作角</x:v>
      </x:c>
      <x:c r="C25" s="9" t="str">
        <x:v>P1</x:v>
      </x:c>
      <x:c r="D25" s="9" t="str">
        <x:v>下班后学习或备考的成年人</x:v>
      </x:c>
      <x:c r="E25" s="9" t="str">
        <x:v>在有限房间中容纳电脑、书和笔记</x:v>
      </x:c>
      <x:c r="F25" s="9" t="str">
        <x:v>120×60的基础学习工作区</x:v>
      </x:c>
      <x:c r="G25" s="9" t="str">
        <x:v>三：新使用场景</x:v>
      </x:c>
      <x:c r="H25" s="9" t="str">
        <x:v>FlexiSpot</x:v>
      </x:c>
      <x:c r="I25" s="9" t="str">
        <x:v>FLEX-GOOG-012;FLEX-GOOG-096</x:v>
      </x:c>
      <x:c r="J25" s="9" t="str">
        <x:v>参考卧室与工作角共存的生活关系，不用学生儿童形象误导高度适用范围</x:v>
      </x:c>
      <x:c r="K25" s="9" t="str">
        <x:v>P1小尺寸支持场景，成人进修细分需求未有规模数据</x:v>
      </x:c>
      <x:c r="L25" s="9" t="str">
        <x:v>使用真实书页和笔记任务替代通用笔记本+绿植，光源为普通工作灯</x:v>
      </x:c>
      <x:c r="M25" s="9" t="str">
        <x:v>小型成人卧室，墙边是书架，床只露一角</x:v>
      </x:c>
      <x:c r="N25" s="9" t="str">
        <x:v>从书架缝隙斜向拍中景，前景轻微遮挡但不盖住桌脚与控制器</x:v>
      </x:c>
      <x:c r="O25" s="9" t="str">
        <x:v>约27岁成年人坐姿在书页与电脑之间做笔记，不出现儿童</x:v>
      </x:c>
      <x:c r="P25" s="9" t="str">
        <x:v>Meta Feed</x:v>
      </x:c>
      <x:c r="Q25" s="9" t="str">
        <x:v>4:5、1:1</x:v>
      </x:c>
      <x:c r="R25" s="9" t="str">
        <x:v>Ein Arbeitsplatz für deine nächsten Ziele</x:v>
      </x:c>
      <x:c r="S25" s="9" t="str">
        <x:v>一体桌板；单电机；两组记忆高度；白桌白架；规格区承重70 kg；高度73–118 cm不含桌板</x:v>
      </x:c>
      <x:c r="T25" s="9" t="str">
        <x:v>描述段噪声&lt;50 dB与规格≤55 dB不一致，创意不引用分贝；不要混用Economy拼接板。</x:v>
      </x:c>
      <x:c r="U25" s="9" t="str">
        <x:v>P1+N1；成人进修人群属于新增假设</x:v>
      </x:c>
      <x:c r="V25" s="9" t="str">
        <x:v>../01_Original_Competitor_Ads/FlexiSpot/Google/FLEX-GOOG-012.jpg</x:v>
      </x:c>
      <x:c r="W25" s="9" t="str">
        <x:v>https://adstransparency.google.com/advertiser/AR05859906800018522113/creative/CR03255810653201367041?region=DE&amp;start-date=2026-09-16&amp;end-date=2026-10-15&amp;format=IMAGE</x:v>
      </x:c>
      <x:c r="X25" s="9" t="str">
        <x:v>有A类实际图片参考；具体原创场景和转化效果尚待测试。图片参考体现视觉方法，不构成竞品效果数据。</x:v>
      </x:c>
    </x:row>
    <x:row r="26" ht="220" customHeight="1">
      <x:c r="A26" s="9" t="str">
        <x:v>FW-C21</x:v>
      </x:c>
      <x:c r="B26" s="9" t="str">
        <x:v>站着开会，桌面任务接着做</x:v>
      </x:c>
      <x:c r="C26" s="9" t="str">
        <x:v>P2</x:v>
      </x:c>
      <x:c r="D26" s="9" t="str">
        <x:v>经常视频会议的混合办公者</x:v>
      </x:c>
      <x:c r="E26" s="9" t="str">
        <x:v>会议时可以换成站姿，电脑和资料不必另找地方</x:v>
      </x:c>
      <x:c r="F26" s="9" t="str">
        <x:v>电动坐站切换与140×70桌面</x:v>
      </x:c>
      <x:c r="G26" s="9" t="str">
        <x:v>一：成熟创意的新表现</x:v>
      </x:c>
      <x:c r="H26" s="9" t="str">
        <x:v>Yaasa|Ergotopia</x:v>
      </x:c>
      <x:c r="I26" s="9" t="str">
        <x:v>YAAS-GOOG-016;ERGO-GOOG-043;ERGO-GOOG-026</x:v>
      </x:c>
      <x:c r="J26" s="9" t="str">
        <x:v>参考人物与办公任务的关联，再用局部控制器说明如何切换</x:v>
      </x:c>
      <x:c r="K26" s="9" t="str">
        <x:v>N1+N2支持混合办公和姿势交替；P2支持功能，不承诺会议效率提升</x:v>
      </x:c>
      <x:c r="L26" s="9" t="str">
        <x:v>只有一个人、一个屏幕、少量会议笔记；用侧面显示站姿而不是让人对镜头摆拍</x:v>
      </x:c>
      <x:c r="M26" s="9" t="str">
        <x:v>带深红色书架的家庭书房，背景没有可识别品牌或公司信息</x:v>
      </x:c>
      <x:c r="N26" s="9" t="str">
        <x:v>侧向35°中景，人物位于左侧、白桌延伸到右；电脑视频画面不显示真实姓名</x:v>
      </x:c>
      <x:c r="O26" s="9" t="str">
        <x:v>约35岁职员站姿听会议，单手在笔记本上记一句话，另一手自然放松</x:v>
      </x:c>
      <x:c r="P26" s="9" t="str">
        <x:v>Meta Feed；Google PMax 图片资产</x:v>
      </x:c>
      <x:c r="Q26" s="9" t="str">
        <x:v>4:5、1.91:1</x:v>
      </x:c>
      <x:c r="R26" s="9" t="str">
        <x:v>Auch im Meeting die Position wechseln</x:v>
      </x:c>
      <x:c r="S26" s="9" t="str">
        <x:v>一体桌板；单电机；两组记忆高度；白桌白架；对应140×70在售变体</x:v>
      </x:c>
      <x:c r="T26" s="9" t="str">
        <x:v>页面文案提到100–160 cm，但当前可选变体只核验100/120/140 cm；不把160 cm写成可售Solid。</x:v>
      </x:c>
      <x:c r="U26" s="9" t="str">
        <x:v>N1+N2+P2；姿势交替而非健康效果承诺</x:v>
      </x:c>
      <x:c r="V26" s="9" t="str">
        <x:v>../01_Original_Competitor_Ads/Yaasa/Google/YAAS-GOOG-016.png</x:v>
      </x:c>
      <x:c r="W26" s="9" t="str">
        <x:v>https://adstransparency.google.com/advertiser/AR11132507814793052161/creative/CR16743120977646321665?region=DE&amp;start-date=2026-09-16&amp;end-date=2026-10-15&amp;format=IMAGE</x:v>
      </x:c>
      <x:c r="X26" s="9" t="str">
        <x:v>有A类实际图片参考；具体原创场景和转化效果尚待测试。图片参考体现视觉方法，不构成竞品效果数据。</x:v>
      </x:c>
    </x:row>
    <x:row r="27" ht="220" customHeight="1">
      <x:c r="A27" s="9" t="str">
        <x:v>FW-C22</x:v>
      </x:c>
      <x:c r="B27" s="9" t="str">
        <x:v>离开桌子的小休息</x:v>
      </x:c>
      <x:c r="C27" s="9" t="str">
        <x:v>P6</x:v>
      </x:c>
      <x:c r="D27" s="9" t="str">
        <x:v>长时间电脑工作的成年人</x:v>
      </x:c>
      <x:c r="E27" s="9" t="str">
        <x:v>形成坐、站、走动交替的工作节奏</x:v>
      </x:c>
      <x:c r="F27" s="9" t="str">
        <x:v>可调高度是工作流程的一部分</x:v>
      </x:c>
      <x:c r="G27" s="9" t="str">
        <x:v>三：新使用场景</x:v>
      </x:c>
      <x:c r="H27" s="9" t="str">
        <x:v>Ergotopia</x:v>
      </x:c>
      <x:c r="I27" s="9" t="str">
        <x:v>ERGO-GOOG-043;ERGO-META-2477194332778401</x:v>
      </x:c>
      <x:c r="J27" s="9" t="str">
        <x:v>参考以使用目的组织信息，不沿用竞品的疗效或品质证明</x:v>
      </x:c>
      <x:c r="K27" s="9" t="str">
        <x:v>DGUV明确强调站立不能替代移动；P6只是支持转换姿势的工具</x:v>
      </x:c>
      <x:c r="L27" s="9" t="str">
        <x:v>桌子静止在站姿高度，人离开桌边拿水；文案不把站立描述为运动替代</x:v>
      </x:c>
      <x:c r="M27" s="9" t="str">
        <x:v>开放式城市公寓，桌子与饮水台之间有一条真实通路</x:v>
      </x:c>
      <x:c r="N27" s="9" t="str">
        <x:v>广角侧面，桌子在前景占约一半，人走向背景饮水区；白桌保持完整可识别</x:v>
      </x:c>
      <x:c r="O27" s="9" t="str">
        <x:v>约40岁成年人自然走向饮水台，手上无热液体靠近电器</x:v>
      </x:c>
      <x:c r="P27" s="9" t="str">
        <x:v>Meta Feed</x:v>
      </x:c>
      <x:c r="Q27" s="9" t="str">
        <x:v>4:5、1.91:1</x:v>
      </x:c>
      <x:c r="R27" s="9" t="str">
        <x:v>Sitzen, stehen und zwischendurch bewegen</x:v>
      </x:c>
      <x:c r="S27" s="9" t="str">
        <x:v>白桌白架140×70在售变体；双电机；完整尺寸和SKU已记录</x:v>
      </x:c>
      <x:c r="T27" s="9" t="str">
        <x:v>同P3的动态/静态承重冲突；不要沿用旧记忆中的承重数字。</x:v>
      </x:c>
      <x:c r="U27" s="9" t="str">
        <x:v>N2+P6；休息行为场景为教育型测试</x:v>
      </x:c>
      <x:c r="V27" s="9" t="str">
        <x:v>../01_Original_Competitor_Ads/Ergotopia/Google/ERGO-GOOG-043.jpg</x:v>
      </x:c>
      <x:c r="W27" s="9" t="str">
        <x:v>https://adstransparency.google.com/advertiser/AR17237286746354352129/creative/CR05597477950271258625?region=DE&amp;start-date=2026-09-16&amp;end-date=2026-10-15&amp;format=IMAGE</x:v>
      </x:c>
      <x:c r="X27" s="9" t="str">
        <x:v>有A类实际图片参考；具体原创场景和转化效果尚待测试。图片参考体现视觉方法，不构成竞品效果数据。</x:v>
      </x:c>
    </x:row>
    <x:row r="28" ht="220" customHeight="1">
      <x:c r="A28" s="9" t="str">
        <x:v>FW-C23</x:v>
      </x:c>
      <x:c r="B28" s="9" t="str">
        <x:v>用完咖啡，桌面回到清爽状态</x:v>
      </x:c>
      <x:c r="C28" s="9" t="str">
        <x:v>P2</x:v>
      </x:c>
      <x:c r="D28" s="9" t="str">
        <x:v>在家办公、经常同时吃喝和用电脑的成年人</x:v>
      </x:c>
      <x:c r="E28" s="9" t="str">
        <x:v>日常桌面易整理，不显得脆弱难打理</x:v>
      </x:c>
      <x:c r="F28" s="9" t="str">
        <x:v>一体桌板及官方所述易清洁表面</x:v>
      </x:c>
      <x:c r="G28" s="9" t="str">
        <x:v>二：已有卖点的视觉强化</x:v>
      </x:c>
      <x:c r="H28" s="9" t="str">
        <x:v>FlexiSpot</x:v>
      </x:c>
      <x:c r="I28" s="9" t="str">
        <x:v>FLEX-GOOG-040;FLEX-GOOG-059</x:v>
      </x:c>
      <x:c r="J28" s="9" t="str">
        <x:v>参考少量日用物件与无遮挡台面，不把杯子当作防水实验</x:v>
      </x:c>
      <x:c r="K28" s="9" t="str">
        <x:v>P2官方称易清洁；只表现普通干布清理，不声称防烫、防水等级或耐化学品</x:v>
      </x:c>
      <x:c r="L28" s="9" t="str">
        <x:v>使用一块普通干布整理咖啡杯底留下的轻微干痕，避开插电部位</x:v>
      </x:c>
      <x:c r="M28" s="9" t="str">
        <x:v>带浅黄墙的小工作间，背景只留一张画和书架边缘</x:v>
      </x:c>
      <x:c r="N28" s="9" t="str">
        <x:v>近距离沿桌板前长边拍，干布与杯垫靠前；角落小整桌图让用户识别产品。渠道改版：PMax版用单幅清理动作照片并保留可识别的桌体，不叠加整桌小图。</x:v>
      </x:c>
      <x:c r="O28" s="9" t="str">
        <x:v>成年人用干布轻擦桌面，杯子放稳，不泼水、不放热锅</x:v>
      </x:c>
      <x:c r="P28" s="9" t="str">
        <x:v>Meta Feed主方案；Google PMax需另做干净单幅版本</x:v>
      </x:c>
      <x:c r="Q28" s="9" t="str">
        <x:v>1:1、4:5</x:v>
      </x:c>
      <x:c r="R28" s="9" t="str">
        <x:v>Eine durchgehende Fläche für deinen Alltag</x:v>
      </x:c>
      <x:c r="S28" s="9" t="str">
        <x:v>一体桌板；单电机；两组记忆高度；白桌白架；对应140×70在售变体</x:v>
      </x:c>
      <x:c r="T28" s="9" t="str">
        <x:v>页面文案提到100–160 cm，但当前可选变体只核验100/120/140 cm；不把160 cm写成可售Solid。</x:v>
      </x:c>
      <x:c r="U28" s="9" t="str">
        <x:v>P2官方表面说明；不扩展到测试未证实性能</x:v>
      </x:c>
      <x:c r="V28" s="9" t="str">
        <x:v>../01_Original_Competitor_Ads/FlexiSpot/Google/FLEX-GOOG-040.jpg</x:v>
      </x:c>
      <x:c r="W28" s="9" t="str">
        <x:v>https://adstransparency.google.com/advertiser/AR05859906800018522113/creative/CR02363687156309819393?region=DE&amp;start-date=2026-09-16&amp;end-date=2026-10-15&amp;format=IMAGE</x:v>
      </x:c>
      <x:c r="X28" s="9" t="str">
        <x:v>有A类实际图片参考；具体原创场景和转化效果尚待测试。图片参考体现视觉方法，不构成竞品效果数据。</x:v>
      </x:c>
    </x:row>
    <x:row r="29" ht="220" customHeight="1">
      <x:c r="A29" s="9" t="str">
        <x:v>FW-C24</x:v>
      </x:c>
      <x:c r="B29" s="9" t="str">
        <x:v>桌架价格里到底包含什么</x:v>
      </x:c>
      <x:c r="C29" s="9" t="str">
        <x:v>P4</x:v>
      </x:c>
      <x:c r="D29" s="9" t="str">
        <x:v>搜索电动桌架、接近下单的用户</x:v>
      </x:c>
      <x:c r="E29" s="9" t="str">
        <x:v>清楚知道只购买框架，桌板和设备另配</x:v>
      </x:c>
      <x:c r="F29" s="9" t="str">
        <x:v>独立桌架的商品边界</x:v>
      </x:c>
      <x:c r="G29" s="9" t="str">
        <x:v>二：已有卖点的视觉强化</x:v>
      </x:c>
      <x:c r="H29" s="9" t="str">
        <x:v>FlexiSpot|Desktronic|SONGMICS</x:v>
      </x:c>
      <x:c r="I29" s="9" t="str">
        <x:v>FLEX-GOOG-077;DESK-GOOG-031;SONG-GOOG-074</x:v>
      </x:c>
      <x:c r="J29" s="9" t="str">
        <x:v>参考明确“仅桌架”的标签、裸框架及控制器局部</x:v>
      </x:c>
      <x:c r="K29" s="9" t="str">
        <x:v>Furniwell确实单独销售P4；这是可直接澄清的商品信息</x:v>
      </x:c>
      <x:c r="L29" s="9" t="str">
        <x:v>主图只放白P4，右边小灰色示意图解释如何配合自有合适桌板；不让完整桌子抢走主视觉</x:v>
      </x:c>
      <x:c r="M29" s="9" t="str">
        <x:v>无生活背景的白灰信息布景</x:v>
      </x:c>
      <x:c r="N29" s="9" t="str">
        <x:v>左侧约70%给完整桌架，右侧是“Gestell / Tischplatte separat”两项边界及适配检查提示；不加未经核验赠品。渠道改版：PMax版只拍完整裸桌架，不加灰色整桌示意或图中文字；仅桌架、桌板另配写入广告文字。</x:v>
      </x:c>
      <x:c r="O29" s="9" t="str">
        <x:v>无人；实际控制器和线缆完整保留</x:v>
      </x:c>
      <x:c r="P29" s="9" t="str">
        <x:v>Meta Feed主方案；Google PMax需另做干净单幅版本</x:v>
      </x:c>
      <x:c r="Q29" s="9" t="str">
        <x:v>1:1、1.91:1</x:v>
      </x:c>
      <x:c r="R29" s="9" t="str">
        <x:v>Nur das Gestell. Klar erklärt.</x:v>
      </x:c>
      <x:c r="S29" s="9" t="str">
        <x:v>白色在售变体；单电机；两组记忆高度；规格区72–118 cm；动态80 kg/静态100 kg；只售桌架</x:v>
      </x:c>
      <x:c r="T29" s="9" t="str">
        <x:v>正文还出现不同高度/宽度范围，兼容性按规格区并在制作前复核安装孔位、板材、重量；不可承诺适配任意旧桌板。</x:v>
      </x:c>
      <x:c r="U29" s="9" t="str">
        <x:v>P4；竞品裸架与商品边界可直接对应</x:v>
      </x:c>
      <x:c r="V29" s="9" t="str">
        <x:v>../01_Original_Competitor_Ads/FlexiSpot/Google/FLEX-GOOG-077.jpg</x:v>
      </x:c>
      <x:c r="W29" s="9" t="str">
        <x:v>https://adstransparency.google.com/advertiser/AR05859906800018522113/creative/CR06660262591144656897?region=DE&amp;start-date=2026-09-16&amp;end-date=2026-10-15&amp;format=IMAGE</x:v>
      </x:c>
      <x:c r="X29" s="9" t="str">
        <x:v>有A类实际图片参考；具体原创场景和转化效果尚待测试。图片参考体现视觉方法，不构成竞品效果数据。</x:v>
      </x:c>
    </x:row>
  </x:sheetData>
  <x:pageMargins left="0.7" right="0.7" top="0.75" bottom="0.75" header="0.3" footer="0.3"/>
  <x:tableParts count="1">
    <x:tablePart xmlns:r="http://schemas.openxmlformats.org/officeDocument/2006/relationships" r:id="R9f8a3b55d03f4c80"/>
  </x:tableParts>
</x:worksheet>
</file>

<file path=xl/worksheets/sheet3.xml><?xml version="1.0" encoding="utf-8"?>
<x:worksheet xmlns:x="http://schemas.openxmlformats.org/spreadsheetml/2006/main">
  <x:sheetPr>
    <x:tabColor rgb="FF243B5A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7" hidden="0" customWidth="1"/>
    <x:col min="2" max="2" width="60" hidden="0" customWidth="1"/>
    <x:col min="3" max="3" width="58" hidden="0" customWidth="1"/>
    <x:col min="4" max="4" width="32" hidden="0" customWidth="1"/>
    <x:col min="5" max="5" width="38" hidden="0" customWidth="1"/>
    <x:col min="6" max="6" width="110" hidden="0" customWidth="1"/>
    <x:col min="7" max="7" width="110" hidden="0" customWidth="1"/>
    <x:col min="8" max="8" width="110" hidden="0" customWidth="1"/>
    <x:col min="9" max="9" width="70" hidden="0" customWidth="1"/>
    <x:col min="10" max="10" width="70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>
      <x:c r="A2" s="3" t="str">
        <x:v>Furniwell产品核验快照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 ht="34" customHeight="1">
      <x:c r="A5" s="7" t="str">
        <x:v>Product_ID</x:v>
      </x:c>
      <x:c r="B5" s="7" t="str">
        <x:v>产品与尺寸</x:v>
      </x:c>
      <x:c r="C5" s="7" t="str">
        <x:v>SKU</x:v>
      </x:c>
      <x:c r="D5" s="7" t="str">
        <x:v>变体ID</x:v>
      </x:c>
      <x:c r="E5" s="7" t="str">
        <x:v>在售快照</x:v>
      </x:c>
      <x:c r="F5" s="7" t="str">
        <x:v>已核验事实</x:v>
      </x:c>
      <x:c r="G5" s="7" t="str">
        <x:v>规格冲突与边界</x:v>
      </x:c>
      <x:c r="H5" s="7" t="str">
        <x:v>视觉锁定</x:v>
      </x:c>
      <x:c r="I5" s="7" t="str">
        <x:v>官方变体</x:v>
      </x:c>
      <x:c r="J5" s="7" t="str">
        <x:v>官方原图</x:v>
      </x:c>
    </x:row>
    <x:row r="6" ht="180" customHeight="1">
      <x:c r="A6" s="9" t="str">
        <x:v>P1</x:v>
      </x:c>
      <x:c r="B6" s="9" t="str">
        <x:v>Economy Solid 白色 120×60 cm</x:v>
      </x:c>
      <x:c r="C6" s="9" t="str">
        <x:v>G-HAD25-1282-122WT-D</x:v>
      </x:c>
      <x:c r="D6" s="13" t="str">
        <x:v>ID 52895330861322</x:v>
      </x:c>
      <x:c r="E6" s="9" t="str">
        <x:v>2026-10-15 available=true</x:v>
      </x:c>
      <x:c r="F6" s="9" t="str">
        <x:v>一体桌板；单电机；两组记忆高度；白桌白架；规格区承重70 kg；高度73–118 cm不含桌板</x:v>
      </x:c>
      <x:c r="G6" s="9" t="str">
        <x:v>描述段噪声&lt;50 dB与规格≤55 dB不一致，创意不引用分贝；不要混用Economy拼接板。</x:v>
      </x:c>
      <x:c r="H6" s="9" t="str">
        <x:v>使用该型号官方原图。保留桌板材质、拼接方式、立柱节数与装配方向、桌脚、单个控制器和线缆。控制器在使用者右手侧的前长边下方。Dual Ultra X按已确认产品约束保持右边距约桌长0.125，官方参考如有冲突先复核。不得混用其他型号控制器。</x:v>
      </x:c>
      <x:c r="I6" s="9" t="str">
        <x:v>https://furniwell.de/products/economy-solid-elektrisch-hohenverstellbarer-schreibtisch?variant=52895330861322</x:v>
      </x:c>
      <x:c r="J6" s="9" t="str">
        <x:v>Furniwell_Product_References/P1.jpg</x:v>
      </x:c>
    </x:row>
    <x:row r="7" ht="180" customHeight="1">
      <x:c r="A7" s="9" t="str">
        <x:v>P2</x:v>
      </x:c>
      <x:c r="B7" s="9" t="str">
        <x:v>Economy Solid 白色 140×70 cm</x:v>
      </x:c>
      <x:c r="C7" s="9" t="str">
        <x:v>G-HAD25-1282-142WT-D</x:v>
      </x:c>
      <x:c r="D7" s="13" t="str">
        <x:v>ID 52895330894090</x:v>
      </x:c>
      <x:c r="E7" s="9" t="str">
        <x:v>2026-10-15 available=true</x:v>
      </x:c>
      <x:c r="F7" s="9" t="str">
        <x:v>一体桌板；单电机；两组记忆高度；白桌白架；对应140×70在售变体</x:v>
      </x:c>
      <x:c r="G7" s="9" t="str">
        <x:v>页面文案提到100–160 cm，但当前可选变体只核验100/120/140 cm；不把160 cm写成可售Solid。</x:v>
      </x:c>
      <x:c r="H7" s="9" t="str">
        <x:v>使用该型号官方原图。保留桌板材质、拼接方式、立柱节数与装配方向、桌脚、单个控制器和线缆。控制器在使用者右手侧的前长边下方。Dual Ultra X按已确认产品约束保持右边距约桌长0.125，官方参考如有冲突先复核。不得混用其他型号控制器。</x:v>
      </x:c>
      <x:c r="I7" s="9" t="str">
        <x:v>https://furniwell.de/products/economy-solid-elektrisch-hohenverstellbarer-schreibtisch?variant=52895330894090</x:v>
      </x:c>
      <x:c r="J7" s="9" t="str">
        <x:v>Furniwell_Product_References/P2.jpg</x:v>
      </x:c>
    </x:row>
    <x:row r="8" ht="180" customHeight="1">
      <x:c r="A8" s="9" t="str">
        <x:v>P3</x:v>
      </x:c>
      <x:c r="B8" s="9" t="str">
        <x:v>Dual Ultra X 白色 180×80 cm</x:v>
      </x:c>
      <x:c r="C8" s="9" t="str">
        <x:v>G-SDF23-0257-2-G-HADT25-1003-188WT-DE</x:v>
      </x:c>
      <x:c r="D8" s="13" t="str">
        <x:v>ID 52317073998090</x:v>
      </x:c>
      <x:c r="E8" s="9" t="str">
        <x:v>2026-10-15 available=true</x:v>
      </x:c>
      <x:c r="F8" s="9" t="str">
        <x:v>白桌白架180×80在售变体；双电机；规格区高度60–125 cm不含桌板；多尺寸140/160/180/200 cm可选</x:v>
      </x:c>
      <x:c r="G8" s="9" t="str">
        <x:v>营销段落160 kg载荷与规格区动态120 kg/静态160 kg不同；不做重载数字广告，先复核。</x:v>
      </x:c>
      <x:c r="H8" s="9" t="str">
        <x:v>使用该型号官方原图。保留桌板材质、拼接方式、立柱节数与装配方向、桌脚、单个控制器和线缆。控制器在使用者右手侧的前长边下方。Dual Ultra X按已确认产品约束保持右边距约桌长0.125，官方参考如有冲突先复核。不得混用其他型号控制器。</x:v>
      </x:c>
      <x:c r="I8" s="9" t="str">
        <x:v>https://furniwell.de/products/dual-ultra-x-tischgestell-mit-premium-elektrisch-hohenverstellbarer-schreibtisch?variant=52317073998090</x:v>
      </x:c>
      <x:c r="J8" s="9" t="str">
        <x:v>Furniwell_Product_References/P3.jpg</x:v>
      </x:c>
    </x:row>
    <x:row r="9" ht="180" customHeight="1">
      <x:c r="A9" s="9" t="str">
        <x:v>P4</x:v>
      </x:c>
      <x:c r="B9" s="9" t="str">
        <x:v>Einzelmotor 白色电动升降桌架</x:v>
      </x:c>
      <x:c r="C9" s="9" t="str">
        <x:v>FD-SDF101SM2A</x:v>
      </x:c>
      <x:c r="D9" s="13" t="str">
        <x:v>ID 41738609655986</x:v>
      </x:c>
      <x:c r="E9" s="9" t="str">
        <x:v>2026-10-15 available=true</x:v>
      </x:c>
      <x:c r="F9" s="9" t="str">
        <x:v>白色在售变体；单电机；两组记忆高度；规格区72–118 cm；动态80 kg/静态100 kg；只售桌架</x:v>
      </x:c>
      <x:c r="G9" s="9" t="str">
        <x:v>正文还出现不同高度/宽度范围，兼容性按规格区并在制作前复核安装孔位、板材、重量；不可承诺适配任意旧桌板。</x:v>
      </x:c>
      <x:c r="H9" s="9" t="str">
        <x:v>使用该型号官方原图。保留桌板材质、拼接方式、立柱节数与装配方向、桌脚、单个控制器和线缆。控制器在使用者右手侧的前长边下方。Dual Ultra X按已确认产品约束保持右边距约桌长0.125，官方参考如有冲突先复核。不得混用其他型号控制器。</x:v>
      </x:c>
      <x:c r="I9" s="9" t="str">
        <x:v>https://furniwell.de/products/hohenverstellbarer-schreibtisch-gestell-bis-zu-80-kg?variant=41738609655986</x:v>
      </x:c>
      <x:c r="J9" s="9" t="str">
        <x:v>Furniwell_Product_References/P4.jpg</x:v>
      </x:c>
    </x:row>
    <x:row r="10" ht="180" customHeight="1">
      <x:c r="A10" s="9" t="str">
        <x:v>P5</x:v>
      </x:c>
      <x:c r="B10" s="9" t="str">
        <x:v>Economy 白色 120×60 cm</x:v>
      </x:c>
      <x:c r="C10" s="9" t="str">
        <x:v>G-HAD241222B</x:v>
      </x:c>
      <x:c r="D10" s="13" t="str">
        <x:v>ID 44533451587850</x:v>
      </x:c>
      <x:c r="E10" s="9" t="str">
        <x:v>2026-10-15 available=true</x:v>
      </x:c>
      <x:c r="F10" s="9" t="str">
        <x:v>白色120×60在售变体；电动升降；两组记忆高度；规格和描述明确四片桌板拼接</x:v>
      </x:c>
      <x:c r="G10" s="9" t="str">
        <x:v>不得生成一体板或宣传无拼接；页面高度72–116与“行程56 cm”存在算术冲突，不引用行程。</x:v>
      </x:c>
      <x:c r="H10" s="9" t="str">
        <x:v>使用该型号官方原图。保留桌板材质、拼接方式、立柱节数与装配方向、桌脚、单个控制器和线缆。控制器在使用者右手侧的前长边下方。Dual Ultra X按已确认产品约束保持右边距约桌长0.125，官方参考如有冲突先复核。不得混用其他型号控制器。</x:v>
      </x:c>
      <x:c r="I10" s="9" t="str">
        <x:v>https://furniwell.de/products/economy-elektrisch-hohenverstellbarer-schreibtisch?variant=44533451587850</x:v>
      </x:c>
      <x:c r="J10" s="9" t="str">
        <x:v>Furniwell_Product_References/P5.jpg</x:v>
      </x:c>
    </x:row>
    <x:row r="11" ht="180" customHeight="1">
      <x:c r="A11" s="9" t="str">
        <x:v>P6</x:v>
      </x:c>
      <x:c r="B11" s="9" t="str">
        <x:v>Dual Ultra X 白色 140×70 cm</x:v>
      </x:c>
      <x:c r="C11" s="9" t="str">
        <x:v>G-SDF23-0257-2-G-HADT25-1003-147WT-DE</x:v>
      </x:c>
      <x:c r="D11" s="13" t="str">
        <x:v>ID 52317073932554</x:v>
      </x:c>
      <x:c r="E11" s="9" t="str">
        <x:v>2026-10-15 available=true</x:v>
      </x:c>
      <x:c r="F11" s="9" t="str">
        <x:v>白桌白架140×70在售变体；双电机；完整尺寸和SKU已记录</x:v>
      </x:c>
      <x:c r="G11" s="9" t="str">
        <x:v>同P3的动态/静态承重冲突；不要沿用旧记忆中的承重数字。</x:v>
      </x:c>
      <x:c r="H11" s="9" t="str">
        <x:v>使用该型号官方原图。保留桌板材质、拼接方式、立柱节数与装配方向、桌脚、单个控制器和线缆。控制器在使用者右手侧的前长边下方。Dual Ultra X按已确认产品约束保持右边距约桌长0.125，官方参考如有冲突先复核。不得混用其他型号控制器。</x:v>
      </x:c>
      <x:c r="I11" s="9" t="str">
        <x:v>https://furniwell.de/products/dual-ultra-x-tischgestell-mit-premium-elektrisch-hohenverstellbarer-schreibtisch?variant=52317073932554</x:v>
      </x:c>
      <x:c r="J11" s="9" t="str">
        <x:v>Furniwell_Product_References/P6.jpg</x:v>
      </x:c>
    </x:row>
  </x:sheetData>
  <x:pageMargins left="0.7" right="0.7" top="0.75" bottom="0.75" header="0.3" footer="0.3"/>
  <x:tableParts count="1">
    <x:tablePart xmlns:r="http://schemas.openxmlformats.org/officeDocument/2006/relationships" r:id="R534f7f74845e44e9"/>
  </x:tableParts>
</x:worksheet>
</file>